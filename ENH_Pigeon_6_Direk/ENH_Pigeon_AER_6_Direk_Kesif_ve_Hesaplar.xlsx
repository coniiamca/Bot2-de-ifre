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ŞİF" sheetId="1" state="visible" r:id="rId1"/>
    <sheet xmlns:r="http://schemas.openxmlformats.org/officeDocument/2006/relationships" name="TEPE KUVVETİ" sheetId="2" state="visible" r:id="rId2"/>
    <sheet xmlns:r="http://schemas.openxmlformats.org/officeDocument/2006/relationships" name="İLETKEN MEKANİĞİ" sheetId="3" state="visible" r:id="rId3"/>
    <sheet xmlns:r="http://schemas.openxmlformats.org/officeDocument/2006/relationships" name="TEMEL-BETON" sheetId="4" state="visible" r:id="rId4"/>
    <sheet xmlns:r="http://schemas.openxmlformats.org/officeDocument/2006/relationships" name="PROJE ESASLARI" sheetId="5" state="visible" r:id="rId5"/>
  </sheets>
  <definedNames>
    <definedName name="_xlnm.Print_Titles" localSheetId="0">'KEŞİF'!$4:$4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###"/>
    <numFmt numFmtId="165" formatCode="0.000"/>
    <numFmt numFmtId="166" formatCode="0.0"/>
    <numFmt numFmtId="167" formatCode="#,##0.0"/>
    <numFmt numFmtId="168" formatCode="0.0%"/>
    <numFmt numFmtId="169" formatCode="0.0000000"/>
    <numFmt numFmtId="170" formatCode="0.0000"/>
    <numFmt numFmtId="171" formatCode="#,##0.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/>
    </xf>
    <xf numFmtId="4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/>
    </xf>
    <xf numFmtId="4" fontId="6" fillId="5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7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left" vertical="center" wrapText="1"/>
    </xf>
    <xf numFmtId="170" fontId="5" fillId="0" borderId="1" applyAlignment="1" pivotButton="0" quotePrefix="0" xfId="0">
      <alignment horizontal="center" vertical="center" wrapText="1"/>
    </xf>
    <xf numFmtId="0" fontId="0" fillId="4" borderId="0" pivotButton="0" quotePrefix="0" xfId="0"/>
    <xf numFmtId="165" fontId="4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71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15" customWidth="1" min="14" max="14"/>
    <col width="16" customWidth="1" min="15" max="15"/>
    <col width="30" customWidth="1" min="16" max="16"/>
  </cols>
  <sheetData>
    <row r="1" ht="22" customHeight="1">
      <c r="A1" s="1" t="inlineStr">
        <is>
          <t>34,5 kV 3x3/0 AWG (Pigeon) OG + 0,4 kV AER 3x95+70 mm² AG MÜŞTEREK DEMİR DİREKLİ HAVA HATTI - MALZEME VE İŞ KEŞFİ</t>
        </is>
      </c>
    </row>
    <row r="2">
      <c r="A2" s="2" t="inlineStr">
        <is>
          <t>6 direk, III. buz yükü bölgesi. Sarı hücreler (TEDAŞ poz no, birim fiyat) kullanıcı girişidir; tutar, ara toplam ve genel toplam formüllüdür. M: mevcut direkte bağlantı, Hat: güzergâh boyunca.</t>
        </is>
      </c>
    </row>
    <row r="4" ht="32" customHeight="1">
      <c r="A4" s="3" t="inlineStr">
        <is>
          <t>S.No</t>
        </is>
      </c>
      <c r="B4" s="3" t="inlineStr">
        <is>
          <t>TEDAŞ Poz No
(siz girin)</t>
        </is>
      </c>
      <c r="C4" s="3" t="inlineStr">
        <is>
          <t>Malzeme / İş Tanımı</t>
        </is>
      </c>
      <c r="D4" s="3" t="inlineStr">
        <is>
          <t>Birim</t>
        </is>
      </c>
      <c r="E4" s="3" t="inlineStr">
        <is>
          <t>D1</t>
        </is>
      </c>
      <c r="F4" s="3" t="inlineStr">
        <is>
          <t>D2</t>
        </is>
      </c>
      <c r="G4" s="3" t="inlineStr">
        <is>
          <t>D3</t>
        </is>
      </c>
      <c r="H4" s="3" t="inlineStr">
        <is>
          <t>D4</t>
        </is>
      </c>
      <c r="I4" s="3" t="inlineStr">
        <is>
          <t>D5</t>
        </is>
      </c>
      <c r="J4" s="3" t="inlineStr">
        <is>
          <t>D6</t>
        </is>
      </c>
      <c r="K4" s="3" t="inlineStr">
        <is>
          <t>M</t>
        </is>
      </c>
      <c r="L4" s="3" t="inlineStr">
        <is>
          <t>HAT</t>
        </is>
      </c>
      <c r="M4" s="3" t="inlineStr">
        <is>
          <t>TOPLAM
MİKTAR</t>
        </is>
      </c>
      <c r="N4" s="3" t="inlineStr">
        <is>
          <t>BİRİM FİYAT
(TL, siz girin)</t>
        </is>
      </c>
      <c r="O4" s="3" t="inlineStr">
        <is>
          <t>TUTAR
(TL)</t>
        </is>
      </c>
      <c r="P4" s="3" t="inlineStr">
        <is>
          <t>Açıklama</t>
        </is>
      </c>
    </row>
    <row r="5">
      <c r="A5" s="4" t="inlineStr">
        <is>
          <t>A. DİREKLER VE TRAVERSLER</t>
        </is>
      </c>
    </row>
    <row r="6" ht="26" customHeight="1">
      <c r="A6" s="5" t="n">
        <v>1</v>
      </c>
      <c r="B6" s="6" t="n"/>
      <c r="C6" s="7" t="inlineStr">
        <is>
          <t>Galvanizli kafes demir direk, TEDAŞ müşterek (a=50 m) K5'' tipi, III. buz bölgesi (tam boy 12,03 m, 959,77 kg/ad)</t>
        </is>
      </c>
      <c r="D6" s="5" t="inlineStr">
        <is>
          <t>Adet</t>
        </is>
      </c>
      <c r="E6" s="8" t="n">
        <v>1</v>
      </c>
      <c r="F6" s="8" t="n">
        <v>1</v>
      </c>
      <c r="G6" s="8" t="n"/>
      <c r="H6" s="8" t="n"/>
      <c r="I6" s="8" t="n">
        <v>1</v>
      </c>
      <c r="J6" s="8" t="n"/>
      <c r="K6" s="8" t="n"/>
      <c r="L6" s="8" t="n"/>
      <c r="M6" s="9">
        <f>SUM(E6:L6)</f>
        <v/>
      </c>
      <c r="N6" s="10" t="n"/>
      <c r="O6" s="11">
        <f>IF(N6="","",M6*N6)</f>
        <v/>
      </c>
      <c r="P6" s="7" t="n"/>
    </row>
    <row r="7" ht="26" customHeight="1">
      <c r="A7" s="5" t="n">
        <v>2</v>
      </c>
      <c r="B7" s="6" t="n"/>
      <c r="C7" s="7" t="inlineStr">
        <is>
          <t>Galvanizli kafes demir direk, TEDAŞ müşterek (a=50 m) K4'' tipi, III. buz bölgesi (tam boy 11,93 m, 783,54 kg/ad)</t>
        </is>
      </c>
      <c r="D7" s="5" t="inlineStr">
        <is>
          <t>Adet</t>
        </is>
      </c>
      <c r="E7" s="8" t="n"/>
      <c r="F7" s="8" t="n"/>
      <c r="G7" s="8" t="n"/>
      <c r="H7" s="8" t="n"/>
      <c r="I7" s="8" t="n"/>
      <c r="J7" s="8" t="n">
        <v>1</v>
      </c>
      <c r="K7" s="8" t="n"/>
      <c r="L7" s="8" t="n"/>
      <c r="M7" s="9">
        <f>SUM(E7:L7)</f>
        <v/>
      </c>
      <c r="N7" s="10" t="n"/>
      <c r="O7" s="11">
        <f>IF(N7="","",M7*N7)</f>
        <v/>
      </c>
      <c r="P7" s="7" t="n"/>
    </row>
    <row r="8" ht="26" customHeight="1">
      <c r="A8" s="5" t="n">
        <v>3</v>
      </c>
      <c r="B8" s="6" t="n"/>
      <c r="C8" s="7" t="inlineStr">
        <is>
          <t>Galvanizli kafes demir direk, TEDAŞ müşterek (a=50 m) 12U'' tipi, III. buz bölgesi (tam boy 11,63 m, 361,85 kg/ad)</t>
        </is>
      </c>
      <c r="D8" s="5" t="inlineStr">
        <is>
          <t>Adet</t>
        </is>
      </c>
      <c r="E8" s="8" t="n"/>
      <c r="F8" s="8" t="n"/>
      <c r="G8" s="8" t="n">
        <v>1</v>
      </c>
      <c r="H8" s="8" t="n">
        <v>1</v>
      </c>
      <c r="I8" s="8" t="n"/>
      <c r="J8" s="8" t="n"/>
      <c r="K8" s="8" t="n"/>
      <c r="L8" s="8" t="n"/>
      <c r="M8" s="9">
        <f>SUM(E8:L8)</f>
        <v/>
      </c>
      <c r="N8" s="10" t="n"/>
      <c r="O8" s="11">
        <f>IF(N8="","",M8*N8)</f>
        <v/>
      </c>
      <c r="P8" s="7" t="n"/>
    </row>
    <row r="9" ht="15" customHeight="1">
      <c r="A9" s="5" t="n">
        <v>4</v>
      </c>
      <c r="B9" s="6" t="n"/>
      <c r="C9" s="7" t="inlineStr">
        <is>
          <t>Galvanizli demir direk toplam ağırlığı (birim fiyat kg üzerinden ise)</t>
        </is>
      </c>
      <c r="D9" s="5" t="inlineStr">
        <is>
          <t>kg</t>
        </is>
      </c>
      <c r="E9" s="8" t="n">
        <v>959.77</v>
      </c>
      <c r="F9" s="8" t="n">
        <v>959.77</v>
      </c>
      <c r="G9" s="8" t="n">
        <v>361.85</v>
      </c>
      <c r="H9" s="8" t="n">
        <v>361.85</v>
      </c>
      <c r="I9" s="8" t="n">
        <v>959.77</v>
      </c>
      <c r="J9" s="8" t="n">
        <v>783.54</v>
      </c>
      <c r="K9" s="8" t="n"/>
      <c r="L9" s="8" t="n"/>
      <c r="M9" s="9">
        <f>SUM(E9:L9)</f>
        <v/>
      </c>
      <c r="N9" s="10" t="n"/>
      <c r="O9" s="11">
        <f>IF(N9="","",M9*N9)</f>
        <v/>
      </c>
      <c r="P9" s="7" t="inlineStr">
        <is>
          <t>Travers/konsol hariç</t>
        </is>
      </c>
    </row>
    <row r="10" ht="15" customHeight="1">
      <c r="A10" s="5" t="n">
        <v>5</v>
      </c>
      <c r="B10" s="6" t="n"/>
      <c r="C10" s="7" t="inlineStr">
        <is>
          <t>OG durdurucu (gergi) potans 3,0 m, galvanizli, müşterek direk için (açıortaya dik)</t>
        </is>
      </c>
      <c r="D10" s="5" t="inlineStr">
        <is>
          <t>Adet</t>
        </is>
      </c>
      <c r="E10" s="8" t="n">
        <v>1</v>
      </c>
      <c r="F10" s="8" t="n">
        <v>1</v>
      </c>
      <c r="G10" s="8" t="n"/>
      <c r="H10" s="8" t="n"/>
      <c r="I10" s="8" t="n">
        <v>1</v>
      </c>
      <c r="J10" s="8" t="n">
        <v>1</v>
      </c>
      <c r="K10" s="8" t="n"/>
      <c r="L10" s="8" t="n"/>
      <c r="M10" s="12">
        <f>SUM(E10:L10)</f>
        <v/>
      </c>
      <c r="N10" s="10" t="n"/>
      <c r="O10" s="11">
        <f>IF(N10="","",M10*N10)</f>
        <v/>
      </c>
      <c r="P10" s="7" t="inlineStr">
        <is>
          <t>~66 kg/ad</t>
        </is>
      </c>
    </row>
    <row r="11" ht="15" customHeight="1">
      <c r="A11" s="5" t="n">
        <v>6</v>
      </c>
      <c r="B11" s="6" t="n"/>
      <c r="C11" s="7" t="inlineStr">
        <is>
          <t>OG taşıyıcı potans 2,5 m, galvanizli, müşterek direk için</t>
        </is>
      </c>
      <c r="D11" s="5" t="inlineStr">
        <is>
          <t>Adet</t>
        </is>
      </c>
      <c r="E11" s="8" t="n"/>
      <c r="F11" s="8" t="n"/>
      <c r="G11" s="8" t="n">
        <v>1</v>
      </c>
      <c r="H11" s="8" t="n">
        <v>1</v>
      </c>
      <c r="I11" s="8" t="n"/>
      <c r="J11" s="8" t="n"/>
      <c r="K11" s="8" t="n"/>
      <c r="L11" s="8" t="n"/>
      <c r="M11" s="12">
        <f>SUM(E11:L11)</f>
        <v/>
      </c>
      <c r="N11" s="10" t="n"/>
      <c r="O11" s="11">
        <f>IF(N11="","",M11*N11)</f>
        <v/>
      </c>
      <c r="P11" s="7" t="inlineStr">
        <is>
          <t>~42 kg/ad</t>
        </is>
      </c>
    </row>
    <row r="12" ht="15" customHeight="1">
      <c r="A12" s="5" t="n">
        <v>7</v>
      </c>
      <c r="B12" s="6" t="n"/>
      <c r="C12" s="7" t="inlineStr">
        <is>
          <t>Ayırıcı (seksiyoner) montaj kaidesi, galvanizli, demir direk için</t>
        </is>
      </c>
      <c r="D12" s="5" t="inlineStr">
        <is>
          <t>Adet</t>
        </is>
      </c>
      <c r="E12" s="8" t="n">
        <v>1</v>
      </c>
      <c r="F12" s="8" t="n"/>
      <c r="G12" s="8" t="n"/>
      <c r="H12" s="8" t="n"/>
      <c r="I12" s="8" t="n"/>
      <c r="J12" s="8" t="n"/>
      <c r="K12" s="8" t="n"/>
      <c r="L12" s="8" t="n"/>
      <c r="M12" s="12">
        <f>SUM(E12:L12)</f>
        <v/>
      </c>
      <c r="N12" s="10" t="n"/>
      <c r="O12" s="11">
        <f>IF(N12="","",M12*N12)</f>
        <v/>
      </c>
      <c r="P12" s="7" t="inlineStr">
        <is>
          <t>~45 kg</t>
        </is>
      </c>
    </row>
    <row r="13" ht="15" customHeight="1">
      <c r="A13" s="5" t="n">
        <v>8</v>
      </c>
      <c r="B13" s="6" t="n"/>
      <c r="C13" s="7" t="inlineStr">
        <is>
          <t>Galvanizli cıvata-somun-pul takımı M16x60 (travers/konsol bağlantı)</t>
        </is>
      </c>
      <c r="D13" s="5" t="inlineStr">
        <is>
          <t>Takım</t>
        </is>
      </c>
      <c r="E13" s="8" t="n">
        <v>16</v>
      </c>
      <c r="F13" s="8" t="n">
        <v>12</v>
      </c>
      <c r="G13" s="8" t="n">
        <v>8</v>
      </c>
      <c r="H13" s="8" t="n">
        <v>8</v>
      </c>
      <c r="I13" s="8" t="n">
        <v>12</v>
      </c>
      <c r="J13" s="8" t="n">
        <v>10</v>
      </c>
      <c r="K13" s="8" t="n"/>
      <c r="L13" s="8" t="n"/>
      <c r="M13" s="12">
        <f>SUM(E13:L13)</f>
        <v/>
      </c>
      <c r="N13" s="10" t="n"/>
      <c r="O13" s="11">
        <f>IF(N13="","",M13*N13)</f>
        <v/>
      </c>
      <c r="P13" s="7" t="n"/>
    </row>
    <row r="14">
      <c r="A14" s="13" t="inlineStr">
        <is>
          <t>A. DİREKLER VE TRAVERSLER - ARA TOPLAM</t>
        </is>
      </c>
      <c r="O14" s="14">
        <f>SUM(O6:O13)</f>
        <v/>
      </c>
      <c r="P14" s="15" t="n"/>
    </row>
    <row r="16">
      <c r="A16" s="4" t="inlineStr">
        <is>
          <t>B. İLETKEN VE KABLOLAR</t>
        </is>
      </c>
    </row>
    <row r="17" ht="15" customHeight="1">
      <c r="A17" s="5" t="n">
        <v>9</v>
      </c>
      <c r="B17" s="6" t="n"/>
      <c r="C17" s="7" t="inlineStr">
        <is>
          <t>3/0 AWG (Pigeon) ACSR 6/1 çelik özlü alüminyum iletken (99,30 mm²)</t>
        </is>
      </c>
      <c r="D17" s="5" t="inlineStr">
        <is>
          <t>m</t>
        </is>
      </c>
      <c r="E17" s="8" t="n">
        <v>15</v>
      </c>
      <c r="F17" s="8" t="n">
        <v>9</v>
      </c>
      <c r="G17" s="8" t="n"/>
      <c r="H17" s="8" t="n"/>
      <c r="I17" s="8" t="n">
        <v>9</v>
      </c>
      <c r="J17" s="8" t="n"/>
      <c r="K17" s="8" t="n">
        <v>12</v>
      </c>
      <c r="L17" s="8" t="n">
        <v>841.5</v>
      </c>
      <c r="M17" s="12">
        <f>SUM(E17:L17)</f>
        <v/>
      </c>
      <c r="N17" s="10" t="n"/>
      <c r="O17" s="11">
        <f>IF(N17="","",M17*N17)</f>
        <v/>
      </c>
      <c r="P17" s="7" t="inlineStr">
        <is>
          <t>3 x 275 m x 1,02 + atlamalar</t>
        </is>
      </c>
    </row>
    <row r="18" ht="15" customHeight="1">
      <c r="A18" s="5" t="n">
        <v>10</v>
      </c>
      <c r="B18" s="6" t="n"/>
      <c r="C18" s="7" t="inlineStr">
        <is>
          <t>AER (Alpek) 3x95+70 mm² alüminyum iletkenli, izoleli havai hat kablosu (0,6/1 kV)</t>
        </is>
      </c>
      <c r="D18" s="5" t="inlineStr">
        <is>
          <t>m</t>
        </is>
      </c>
      <c r="E18" s="8" t="n"/>
      <c r="F18" s="8" t="n"/>
      <c r="G18" s="8" t="n"/>
      <c r="H18" s="8" t="n"/>
      <c r="I18" s="8" t="n"/>
      <c r="J18" s="8" t="n"/>
      <c r="K18" s="8" t="n"/>
      <c r="L18" s="8" t="n">
        <v>257.2</v>
      </c>
      <c r="M18" s="12">
        <f>SUM(E18:L18)</f>
        <v/>
      </c>
      <c r="N18" s="10" t="n"/>
      <c r="O18" s="11">
        <f>IF(N18="","",M18*N18)</f>
        <v/>
      </c>
      <c r="P18" s="7" t="inlineStr">
        <is>
          <t>240 m x 1,03 + by-pass/uç payı</t>
        </is>
      </c>
    </row>
    <row r="19">
      <c r="A19" s="13" t="inlineStr">
        <is>
          <t>B. İLETKEN VE KABLOLAR - ARA TOPLAM</t>
        </is>
      </c>
      <c r="O19" s="16">
        <f>SUM(O17:O18)</f>
        <v/>
      </c>
      <c r="P19" s="15" t="n"/>
    </row>
    <row r="21">
      <c r="A21" s="4" t="inlineStr">
        <is>
          <t>C. OG İZOLATÖR VE BAĞLANTI MALZEMELERİ</t>
        </is>
      </c>
    </row>
    <row r="22" ht="15" customHeight="1">
      <c r="A22" s="5" t="n">
        <v>11</v>
      </c>
      <c r="B22" s="6" t="n"/>
      <c r="C22" s="7" t="inlineStr">
        <is>
          <t>36 kV silikon kompozit gergi (germe) izolatörü, 70 kN, kaçak yolu ≥ 900 mm</t>
        </is>
      </c>
      <c r="D22" s="5" t="inlineStr">
        <is>
          <t>Adet</t>
        </is>
      </c>
      <c r="E22" s="8" t="n">
        <v>6</v>
      </c>
      <c r="F22" s="8" t="n">
        <v>6</v>
      </c>
      <c r="G22" s="8" t="n"/>
      <c r="H22" s="8" t="n"/>
      <c r="I22" s="8" t="n">
        <v>6</v>
      </c>
      <c r="J22" s="8" t="n">
        <v>3</v>
      </c>
      <c r="K22" s="8" t="n">
        <v>3</v>
      </c>
      <c r="L22" s="8" t="n"/>
      <c r="M22" s="12">
        <f>SUM(E22:L22)</f>
        <v/>
      </c>
      <c r="N22" s="10" t="n"/>
      <c r="O22" s="11">
        <f>IF(N22="","",M22*N22)</f>
        <v/>
      </c>
      <c r="P22" s="7" t="n"/>
    </row>
    <row r="23" ht="15" customHeight="1">
      <c r="A23" s="5" t="n">
        <v>12</v>
      </c>
      <c r="B23" s="6" t="n"/>
      <c r="C23" s="7" t="inlineStr">
        <is>
          <t>36 kV silikon kompozit mesnet (line-post) izolatörü, taşıyıcı, potansa cıvatalı</t>
        </is>
      </c>
      <c r="D23" s="5" t="inlineStr">
        <is>
          <t>Adet</t>
        </is>
      </c>
      <c r="E23" s="8" t="n"/>
      <c r="F23" s="8" t="n"/>
      <c r="G23" s="8" t="n">
        <v>3</v>
      </c>
      <c r="H23" s="8" t="n">
        <v>3</v>
      </c>
      <c r="I23" s="8" t="n"/>
      <c r="J23" s="8" t="n"/>
      <c r="K23" s="8" t="n"/>
      <c r="L23" s="8" t="n"/>
      <c r="M23" s="12">
        <f>SUM(E23:L23)</f>
        <v/>
      </c>
      <c r="N23" s="10" t="n"/>
      <c r="O23" s="11">
        <f>IF(N23="","",M23*N23)</f>
        <v/>
      </c>
      <c r="P23" s="7" t="n"/>
    </row>
    <row r="24" ht="15" customHeight="1">
      <c r="A24" s="5" t="n">
        <v>13</v>
      </c>
      <c r="B24" s="6" t="n"/>
      <c r="C24" s="7" t="inlineStr">
        <is>
          <t>36 kV silikon kompozit mesnet izolatörü (orta faz atlama desteği)</t>
        </is>
      </c>
      <c r="D24" s="5" t="inlineStr">
        <is>
          <t>Adet</t>
        </is>
      </c>
      <c r="E24" s="8" t="n"/>
      <c r="F24" s="8" t="n">
        <v>1</v>
      </c>
      <c r="G24" s="8" t="n"/>
      <c r="H24" s="8" t="n"/>
      <c r="I24" s="8" t="n">
        <v>1</v>
      </c>
      <c r="J24" s="8" t="n"/>
      <c r="K24" s="8" t="n"/>
      <c r="L24" s="8" t="n"/>
      <c r="M24" s="12">
        <f>SUM(E24:L24)</f>
        <v/>
      </c>
      <c r="N24" s="10" t="n"/>
      <c r="O24" s="11">
        <f>IF(N24="","",M24*N24)</f>
        <v/>
      </c>
      <c r="P24" s="7" t="n"/>
    </row>
    <row r="25" ht="15" customHeight="1">
      <c r="A25" s="5" t="n">
        <v>14</v>
      </c>
      <c r="B25" s="6" t="n"/>
      <c r="C25" s="7" t="inlineStr">
        <is>
          <t>Gergi klemensi 3/0 AWG Pigeon için (cıvatalı/kama tipi, Al alaşım)</t>
        </is>
      </c>
      <c r="D25" s="5" t="inlineStr">
        <is>
          <t>Adet</t>
        </is>
      </c>
      <c r="E25" s="8" t="n">
        <v>6</v>
      </c>
      <c r="F25" s="8" t="n">
        <v>6</v>
      </c>
      <c r="G25" s="8" t="n"/>
      <c r="H25" s="8" t="n"/>
      <c r="I25" s="8" t="n">
        <v>6</v>
      </c>
      <c r="J25" s="8" t="n">
        <v>3</v>
      </c>
      <c r="K25" s="8" t="n">
        <v>3</v>
      </c>
      <c r="L25" s="8" t="n"/>
      <c r="M25" s="12">
        <f>SUM(E25:L25)</f>
        <v/>
      </c>
      <c r="N25" s="10" t="n"/>
      <c r="O25" s="11">
        <f>IF(N25="","",M25*N25)</f>
        <v/>
      </c>
      <c r="P25" s="7" t="n"/>
    </row>
    <row r="26" ht="15" customHeight="1">
      <c r="A26" s="5" t="n">
        <v>15</v>
      </c>
      <c r="B26" s="6" t="n"/>
      <c r="C26" s="7" t="inlineStr">
        <is>
          <t>U-mapa (shackle) 70 kN, sıcak daldırma galvanizli</t>
        </is>
      </c>
      <c r="D26" s="5" t="inlineStr">
        <is>
          <t>Adet</t>
        </is>
      </c>
      <c r="E26" s="8" t="n">
        <v>6</v>
      </c>
      <c r="F26" s="8" t="n">
        <v>6</v>
      </c>
      <c r="G26" s="8" t="n"/>
      <c r="H26" s="8" t="n"/>
      <c r="I26" s="8" t="n">
        <v>6</v>
      </c>
      <c r="J26" s="8" t="n">
        <v>3</v>
      </c>
      <c r="K26" s="8" t="n">
        <v>3</v>
      </c>
      <c r="L26" s="8" t="n"/>
      <c r="M26" s="12">
        <f>SUM(E26:L26)</f>
        <v/>
      </c>
      <c r="N26" s="10" t="n"/>
      <c r="O26" s="11">
        <f>IF(N26="","",M26*N26)</f>
        <v/>
      </c>
      <c r="P26" s="7" t="n"/>
    </row>
    <row r="27" ht="15" customHeight="1">
      <c r="A27" s="5" t="n">
        <v>16</v>
      </c>
      <c r="B27" s="6" t="n"/>
      <c r="C27" s="7" t="inlineStr">
        <is>
          <t>Göz-çatal / oval göz ara bağlantı elemanı 70 kN</t>
        </is>
      </c>
      <c r="D27" s="5" t="inlineStr">
        <is>
          <t>Adet</t>
        </is>
      </c>
      <c r="E27" s="8" t="n">
        <v>6</v>
      </c>
      <c r="F27" s="8" t="n">
        <v>6</v>
      </c>
      <c r="G27" s="8" t="n"/>
      <c r="H27" s="8" t="n"/>
      <c r="I27" s="8" t="n">
        <v>6</v>
      </c>
      <c r="J27" s="8" t="n">
        <v>3</v>
      </c>
      <c r="K27" s="8" t="n">
        <v>3</v>
      </c>
      <c r="L27" s="8" t="n"/>
      <c r="M27" s="12">
        <f>SUM(E27:L27)</f>
        <v/>
      </c>
      <c r="N27" s="10" t="n"/>
      <c r="O27" s="11">
        <f>IF(N27="","",M27*N27)</f>
        <v/>
      </c>
      <c r="P27" s="7" t="n"/>
    </row>
    <row r="28" ht="15" customHeight="1">
      <c r="A28" s="5" t="n">
        <v>17</v>
      </c>
      <c r="B28" s="6" t="n"/>
      <c r="C28" s="7" t="inlineStr">
        <is>
          <t>Gergi bağlantı lamı / travers gergi demiri</t>
        </is>
      </c>
      <c r="D28" s="5" t="inlineStr">
        <is>
          <t>Adet</t>
        </is>
      </c>
      <c r="E28" s="8" t="n">
        <v>6</v>
      </c>
      <c r="F28" s="8" t="n">
        <v>6</v>
      </c>
      <c r="G28" s="8" t="n"/>
      <c r="H28" s="8" t="n"/>
      <c r="I28" s="8" t="n">
        <v>6</v>
      </c>
      <c r="J28" s="8" t="n">
        <v>3</v>
      </c>
      <c r="K28" s="8" t="n">
        <v>3</v>
      </c>
      <c r="L28" s="8" t="n"/>
      <c r="M28" s="12">
        <f>SUM(E28:L28)</f>
        <v/>
      </c>
      <c r="N28" s="10" t="n"/>
      <c r="O28" s="11">
        <f>IF(N28="","",M28*N28)</f>
        <v/>
      </c>
      <c r="P28" s="7" t="n"/>
    </row>
    <row r="29" ht="15" customHeight="1">
      <c r="A29" s="5" t="n">
        <v>18</v>
      </c>
      <c r="B29" s="6" t="n"/>
      <c r="C29" s="7" t="inlineStr">
        <is>
          <t>Mesnet izolatörü üst başlık (tepe) klemensi 3/0 AWG</t>
        </is>
      </c>
      <c r="D29" s="5" t="inlineStr">
        <is>
          <t>Adet</t>
        </is>
      </c>
      <c r="E29" s="8" t="n"/>
      <c r="F29" s="8" t="n">
        <v>1</v>
      </c>
      <c r="G29" s="8" t="n">
        <v>3</v>
      </c>
      <c r="H29" s="8" t="n">
        <v>3</v>
      </c>
      <c r="I29" s="8" t="n">
        <v>1</v>
      </c>
      <c r="J29" s="8" t="n"/>
      <c r="K29" s="8" t="n"/>
      <c r="L29" s="8" t="n"/>
      <c r="M29" s="12">
        <f>SUM(E29:L29)</f>
        <v/>
      </c>
      <c r="N29" s="10" t="n"/>
      <c r="O29" s="11">
        <f>IF(N29="","",M29*N29)</f>
        <v/>
      </c>
      <c r="P29" s="7" t="n"/>
    </row>
    <row r="30" ht="15" customHeight="1">
      <c r="A30" s="5" t="n">
        <v>19</v>
      </c>
      <c r="B30" s="6" t="n"/>
      <c r="C30" s="7" t="inlineStr">
        <is>
          <t>Koruyucu sargı (armor rod) 3/0 AWG Pigeon</t>
        </is>
      </c>
      <c r="D30" s="5" t="inlineStr">
        <is>
          <t>Takım</t>
        </is>
      </c>
      <c r="E30" s="8" t="n"/>
      <c r="F30" s="8" t="n"/>
      <c r="G30" s="8" t="n">
        <v>3</v>
      </c>
      <c r="H30" s="8" t="n">
        <v>3</v>
      </c>
      <c r="I30" s="8" t="n"/>
      <c r="J30" s="8" t="n"/>
      <c r="K30" s="8" t="n"/>
      <c r="L30" s="8" t="n"/>
      <c r="M30" s="12">
        <f>SUM(E30:L30)</f>
        <v/>
      </c>
      <c r="N30" s="10" t="n"/>
      <c r="O30" s="11">
        <f>IF(N30="","",M30*N30)</f>
        <v/>
      </c>
      <c r="P30" s="7" t="n"/>
    </row>
    <row r="31" ht="15" customHeight="1">
      <c r="A31" s="5" t="n">
        <v>20</v>
      </c>
      <c r="B31" s="6" t="n"/>
      <c r="C31" s="7" t="inlineStr">
        <is>
          <t>Paralel oluklu (PG) Al klemens 3/0-3/0 AWG (atlama bağlantısı)</t>
        </is>
      </c>
      <c r="D31" s="5" t="inlineStr">
        <is>
          <t>Adet</t>
        </is>
      </c>
      <c r="E31" s="8" t="n">
        <v>6</v>
      </c>
      <c r="F31" s="8" t="n">
        <v>6</v>
      </c>
      <c r="G31" s="8" t="n"/>
      <c r="H31" s="8" t="n"/>
      <c r="I31" s="8" t="n">
        <v>6</v>
      </c>
      <c r="J31" s="8" t="n"/>
      <c r="K31" s="8" t="n">
        <v>6</v>
      </c>
      <c r="L31" s="8" t="n"/>
      <c r="M31" s="12">
        <f>SUM(E31:L31)</f>
        <v/>
      </c>
      <c r="N31" s="10" t="n"/>
      <c r="O31" s="11">
        <f>IF(N31="","",M31*N31)</f>
        <v/>
      </c>
      <c r="P31" s="7" t="n"/>
    </row>
    <row r="32">
      <c r="A32" s="13" t="inlineStr">
        <is>
          <t>C. OG İZOLATÖR VE BAĞLANTI MALZEMELERİ - ARA TOPLAM</t>
        </is>
      </c>
      <c r="O32" s="16">
        <f>SUM(O22:O31)</f>
        <v/>
      </c>
      <c r="P32" s="15" t="n"/>
    </row>
    <row r="34">
      <c r="A34" s="4" t="inlineStr">
        <is>
          <t>D. AYIRICI (SEKSİYONER) TEÇHİZATI</t>
        </is>
      </c>
    </row>
    <row r="35" ht="26" customHeight="1">
      <c r="A35" s="5" t="n">
        <v>21</v>
      </c>
      <c r="B35" s="6" t="n"/>
      <c r="C35" s="7" t="inlineStr">
        <is>
          <t>36 kV 630 A 3 kutuplu harici tip ayırıcı (seksiyoner), silikon izolatörlü, topraklama bıçaksız</t>
        </is>
      </c>
      <c r="D35" s="5" t="inlineStr">
        <is>
          <t>Takım</t>
        </is>
      </c>
      <c r="E35" s="8" t="n">
        <v>1</v>
      </c>
      <c r="F35" s="8" t="n"/>
      <c r="G35" s="8" t="n"/>
      <c r="H35" s="8" t="n"/>
      <c r="I35" s="8" t="n"/>
      <c r="J35" s="8" t="n"/>
      <c r="K35" s="8" t="n"/>
      <c r="L35" s="8" t="n"/>
      <c r="M35" s="12">
        <f>SUM(E35:L35)</f>
        <v/>
      </c>
      <c r="N35" s="10" t="n"/>
      <c r="O35" s="11">
        <f>IF(N35="","",M35*N35)</f>
        <v/>
      </c>
      <c r="P35" s="7" t="n"/>
    </row>
    <row r="36" ht="15" customHeight="1">
      <c r="A36" s="5" t="n">
        <v>22</v>
      </c>
      <c r="B36" s="6" t="n"/>
      <c r="C36" s="7" t="inlineStr">
        <is>
          <t>Ayırıcı kumanda mekanizması (kollu, kilitlenebilir, açık/kapalı göstergeli)</t>
        </is>
      </c>
      <c r="D36" s="5" t="inlineStr">
        <is>
          <t>Takım</t>
        </is>
      </c>
      <c r="E36" s="8" t="n">
        <v>1</v>
      </c>
      <c r="F36" s="8" t="n"/>
      <c r="G36" s="8" t="n"/>
      <c r="H36" s="8" t="n"/>
      <c r="I36" s="8" t="n"/>
      <c r="J36" s="8" t="n"/>
      <c r="K36" s="8" t="n"/>
      <c r="L36" s="8" t="n"/>
      <c r="M36" s="12">
        <f>SUM(E36:L36)</f>
        <v/>
      </c>
      <c r="N36" s="10" t="n"/>
      <c r="O36" s="11">
        <f>IF(N36="","",M36*N36)</f>
        <v/>
      </c>
      <c r="P36" s="7" t="n"/>
    </row>
    <row r="37" ht="15" customHeight="1">
      <c r="A37" s="5" t="n">
        <v>23</v>
      </c>
      <c r="B37" s="6" t="n"/>
      <c r="C37" s="7" t="inlineStr">
        <is>
          <t>Ayırıcı kumanda borusu, galvanizli 1 1/4"</t>
        </is>
      </c>
      <c r="D37" s="5" t="inlineStr">
        <is>
          <t>m</t>
        </is>
      </c>
      <c r="E37" s="8" t="n">
        <v>9</v>
      </c>
      <c r="F37" s="8" t="n"/>
      <c r="G37" s="8" t="n"/>
      <c r="H37" s="8" t="n"/>
      <c r="I37" s="8" t="n"/>
      <c r="J37" s="8" t="n"/>
      <c r="K37" s="8" t="n"/>
      <c r="L37" s="8" t="n"/>
      <c r="M37" s="12">
        <f>SUM(E37:L37)</f>
        <v/>
      </c>
      <c r="N37" s="10" t="n"/>
      <c r="O37" s="11">
        <f>IF(N37="","",M37*N37)</f>
        <v/>
      </c>
      <c r="P37" s="7" t="n"/>
    </row>
    <row r="38" ht="15" customHeight="1">
      <c r="A38" s="5" t="n">
        <v>24</v>
      </c>
      <c r="B38" s="6" t="n"/>
      <c r="C38" s="7" t="inlineStr">
        <is>
          <t>Kumanda borusu yatağı / kılavuzu (direğe cıvatalı)</t>
        </is>
      </c>
      <c r="D38" s="5" t="inlineStr">
        <is>
          <t>Adet</t>
        </is>
      </c>
      <c r="E38" s="8" t="n">
        <v>4</v>
      </c>
      <c r="F38" s="8" t="n"/>
      <c r="G38" s="8" t="n"/>
      <c r="H38" s="8" t="n"/>
      <c r="I38" s="8" t="n"/>
      <c r="J38" s="8" t="n"/>
      <c r="K38" s="8" t="n"/>
      <c r="L38" s="8" t="n"/>
      <c r="M38" s="12">
        <f>SUM(E38:L38)</f>
        <v/>
      </c>
      <c r="N38" s="10" t="n"/>
      <c r="O38" s="11">
        <f>IF(N38="","",M38*N38)</f>
        <v/>
      </c>
      <c r="P38" s="7" t="n"/>
    </row>
    <row r="39" ht="15" customHeight="1">
      <c r="A39" s="5" t="n">
        <v>25</v>
      </c>
      <c r="B39" s="6" t="n"/>
      <c r="C39" s="7" t="inlineStr">
        <is>
          <t>Al-Cu bimetal bağlantı pabucu / ayırıcı terminal klemensi 3/0 AWG</t>
        </is>
      </c>
      <c r="D39" s="5" t="inlineStr">
        <is>
          <t>Adet</t>
        </is>
      </c>
      <c r="E39" s="8" t="n">
        <v>6</v>
      </c>
      <c r="F39" s="8" t="n"/>
      <c r="G39" s="8" t="n"/>
      <c r="H39" s="8" t="n"/>
      <c r="I39" s="8" t="n"/>
      <c r="J39" s="8" t="n"/>
      <c r="K39" s="8" t="n"/>
      <c r="L39" s="8" t="n"/>
      <c r="M39" s="12">
        <f>SUM(E39:L39)</f>
        <v/>
      </c>
      <c r="N39" s="10" t="n"/>
      <c r="O39" s="11">
        <f>IF(N39="","",M39*N39)</f>
        <v/>
      </c>
      <c r="P39" s="7" t="n"/>
    </row>
    <row r="40" ht="15" customHeight="1">
      <c r="A40" s="5" t="n">
        <v>26</v>
      </c>
      <c r="B40" s="6" t="n"/>
      <c r="C40" s="7" t="inlineStr">
        <is>
          <t>Kumanda kolu potansiyel düzenleme ızgarası (galvanizli, 1,0x1,0 m)</t>
        </is>
      </c>
      <c r="D40" s="5" t="inlineStr">
        <is>
          <t>Adet</t>
        </is>
      </c>
      <c r="E40" s="8" t="n">
        <v>1</v>
      </c>
      <c r="F40" s="8" t="n"/>
      <c r="G40" s="8" t="n"/>
      <c r="H40" s="8" t="n"/>
      <c r="I40" s="8" t="n"/>
      <c r="J40" s="8" t="n"/>
      <c r="K40" s="8" t="n"/>
      <c r="L40" s="8" t="n"/>
      <c r="M40" s="12">
        <f>SUM(E40:L40)</f>
        <v/>
      </c>
      <c r="N40" s="10" t="n"/>
      <c r="O40" s="11">
        <f>IF(N40="","",M40*N40)</f>
        <v/>
      </c>
      <c r="P40" s="7" t="n"/>
    </row>
    <row r="41" ht="15" customHeight="1">
      <c r="A41" s="5" t="n">
        <v>27</v>
      </c>
      <c r="B41" s="6" t="n"/>
      <c r="C41" s="7" t="inlineStr">
        <is>
          <t>Asma kilit (ayırıcı kumanda kolu için, paslanmaz)</t>
        </is>
      </c>
      <c r="D41" s="5" t="inlineStr">
        <is>
          <t>Adet</t>
        </is>
      </c>
      <c r="E41" s="8" t="n">
        <v>1</v>
      </c>
      <c r="F41" s="8" t="n"/>
      <c r="G41" s="8" t="n"/>
      <c r="H41" s="8" t="n"/>
      <c r="I41" s="8" t="n"/>
      <c r="J41" s="8" t="n"/>
      <c r="K41" s="8" t="n"/>
      <c r="L41" s="8" t="n"/>
      <c r="M41" s="12">
        <f>SUM(E41:L41)</f>
        <v/>
      </c>
      <c r="N41" s="10" t="n"/>
      <c r="O41" s="11">
        <f>IF(N41="","",M41*N41)</f>
        <v/>
      </c>
      <c r="P41" s="7" t="n"/>
    </row>
    <row r="42">
      <c r="A42" s="13" t="inlineStr">
        <is>
          <t>D. AYIRICI (SEKSİYONER) TEÇHİZATI - ARA TOPLAM</t>
        </is>
      </c>
      <c r="O42" s="16">
        <f>SUM(O35:O41)</f>
        <v/>
      </c>
      <c r="P42" s="15" t="n"/>
    </row>
    <row r="44">
      <c r="A44" s="4" t="inlineStr">
        <is>
          <t>E. AG AER (ALPEK) BAĞLANTI MALZEMELERİ</t>
        </is>
      </c>
    </row>
    <row r="45" ht="15" customHeight="1">
      <c r="A45" s="5" t="n">
        <v>28</v>
      </c>
      <c r="B45" s="6" t="n"/>
      <c r="C45" s="7" t="inlineStr">
        <is>
          <t>AER germe (gergi) pensi, taşıyıcı nötr 54,6-95 mm²</t>
        </is>
      </c>
      <c r="D45" s="5" t="inlineStr">
        <is>
          <t>Adet</t>
        </is>
      </c>
      <c r="E45" s="8" t="n">
        <v>1</v>
      </c>
      <c r="F45" s="8" t="n">
        <v>2</v>
      </c>
      <c r="G45" s="8" t="n"/>
      <c r="H45" s="8" t="n"/>
      <c r="I45" s="8" t="n">
        <v>2</v>
      </c>
      <c r="J45" s="8" t="n">
        <v>1</v>
      </c>
      <c r="K45" s="8" t="n"/>
      <c r="L45" s="8" t="n"/>
      <c r="M45" s="12">
        <f>SUM(E45:L45)</f>
        <v/>
      </c>
      <c r="N45" s="10" t="n"/>
      <c r="O45" s="11">
        <f>IF(N45="","",M45*N45)</f>
        <v/>
      </c>
      <c r="P45" s="7" t="n"/>
    </row>
    <row r="46" ht="15" customHeight="1">
      <c r="A46" s="5" t="n">
        <v>29</v>
      </c>
      <c r="B46" s="6" t="n"/>
      <c r="C46" s="7" t="inlineStr">
        <is>
          <t>AER germe konsolu / kancası, demir direğe cıvatalı, galvanizli</t>
        </is>
      </c>
      <c r="D46" s="5" t="inlineStr">
        <is>
          <t>Adet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1</v>
      </c>
      <c r="K46" s="8" t="n"/>
      <c r="L46" s="8" t="n"/>
      <c r="M46" s="12">
        <f>SUM(E46:L46)</f>
        <v/>
      </c>
      <c r="N46" s="10" t="n"/>
      <c r="O46" s="11">
        <f>IF(N46="","",M46*N46)</f>
        <v/>
      </c>
      <c r="P46" s="7" t="n"/>
    </row>
    <row r="47" ht="15" customHeight="1">
      <c r="A47" s="5" t="n">
        <v>30</v>
      </c>
      <c r="B47" s="6" t="n"/>
      <c r="C47" s="7" t="inlineStr">
        <is>
          <t>AER askı (süspansiyon) pensi, taşıyıcı nötr 54,6-95 mm²</t>
        </is>
      </c>
      <c r="D47" s="5" t="inlineStr">
        <is>
          <t>Adet</t>
        </is>
      </c>
      <c r="E47" s="8" t="n"/>
      <c r="F47" s="8" t="n"/>
      <c r="G47" s="8" t="n">
        <v>1</v>
      </c>
      <c r="H47" s="8" t="n">
        <v>1</v>
      </c>
      <c r="I47" s="8" t="n"/>
      <c r="J47" s="8" t="n"/>
      <c r="K47" s="8" t="n"/>
      <c r="L47" s="8" t="n"/>
      <c r="M47" s="12">
        <f>SUM(E47:L47)</f>
        <v/>
      </c>
      <c r="N47" s="10" t="n"/>
      <c r="O47" s="11">
        <f>IF(N47="","",M47*N47)</f>
        <v/>
      </c>
      <c r="P47" s="7" t="n"/>
    </row>
    <row r="48" ht="15" customHeight="1">
      <c r="A48" s="5" t="n">
        <v>31</v>
      </c>
      <c r="B48" s="6" t="n"/>
      <c r="C48" s="7" t="inlineStr">
        <is>
          <t>AER askı konsolu, demir direğe cıvatalı, galvanizli</t>
        </is>
      </c>
      <c r="D48" s="5" t="inlineStr">
        <is>
          <t>Adet</t>
        </is>
      </c>
      <c r="E48" s="8" t="n"/>
      <c r="F48" s="8" t="n"/>
      <c r="G48" s="8" t="n">
        <v>1</v>
      </c>
      <c r="H48" s="8" t="n">
        <v>1</v>
      </c>
      <c r="I48" s="8" t="n"/>
      <c r="J48" s="8" t="n"/>
      <c r="K48" s="8" t="n"/>
      <c r="L48" s="8" t="n"/>
      <c r="M48" s="12">
        <f>SUM(E48:L48)</f>
        <v/>
      </c>
      <c r="N48" s="10" t="n"/>
      <c r="O48" s="11">
        <f>IF(N48="","",M48*N48)</f>
        <v/>
      </c>
      <c r="P48" s="7" t="n"/>
    </row>
    <row r="49" ht="15" customHeight="1">
      <c r="A49" s="5" t="n">
        <v>32</v>
      </c>
      <c r="B49" s="6" t="n"/>
      <c r="C49" s="7" t="inlineStr">
        <is>
          <t>AER uç kapama başlığı (end cap) 95 mm²</t>
        </is>
      </c>
      <c r="D49" s="5" t="inlineStr">
        <is>
          <t>Adet</t>
        </is>
      </c>
      <c r="E49" s="8" t="n">
        <v>4</v>
      </c>
      <c r="F49" s="8" t="n"/>
      <c r="G49" s="8" t="n"/>
      <c r="H49" s="8" t="n"/>
      <c r="I49" s="8" t="n"/>
      <c r="J49" s="8" t="n">
        <v>4</v>
      </c>
      <c r="K49" s="8" t="n"/>
      <c r="L49" s="8" t="n"/>
      <c r="M49" s="12">
        <f>SUM(E49:L49)</f>
        <v/>
      </c>
      <c r="N49" s="10" t="n"/>
      <c r="O49" s="11">
        <f>IF(N49="","",M49*N49)</f>
        <v/>
      </c>
      <c r="P49" s="7" t="n"/>
    </row>
    <row r="50" ht="15" customHeight="1">
      <c r="A50" s="5" t="n">
        <v>33</v>
      </c>
      <c r="B50" s="6" t="n"/>
      <c r="C50" s="7" t="inlineStr">
        <is>
          <t>UV dayanımlı kablo bağı (siyah, 9x400 mm)</t>
        </is>
      </c>
      <c r="D50" s="5" t="inlineStr">
        <is>
          <t>Adet</t>
        </is>
      </c>
      <c r="E50" s="8" t="n">
        <v>6</v>
      </c>
      <c r="F50" s="8" t="n">
        <v>8</v>
      </c>
      <c r="G50" s="8" t="n">
        <v>4</v>
      </c>
      <c r="H50" s="8" t="n">
        <v>4</v>
      </c>
      <c r="I50" s="8" t="n">
        <v>8</v>
      </c>
      <c r="J50" s="8" t="n">
        <v>6</v>
      </c>
      <c r="K50" s="8" t="n"/>
      <c r="L50" s="8" t="n"/>
      <c r="M50" s="12">
        <f>SUM(E50:L50)</f>
        <v/>
      </c>
      <c r="N50" s="10" t="n"/>
      <c r="O50" s="11">
        <f>IF(N50="","",M50*N50)</f>
        <v/>
      </c>
      <c r="P50" s="7" t="n"/>
    </row>
    <row r="51" ht="15" customHeight="1">
      <c r="A51" s="5" t="n">
        <v>34</v>
      </c>
      <c r="B51" s="6" t="n"/>
      <c r="C51" s="7" t="inlineStr">
        <is>
          <t>İzoleli delici klemens 16-95 mm² (nötr topraklama bağlantısı)</t>
        </is>
      </c>
      <c r="D51" s="5" t="inlineStr">
        <is>
          <t>Adet</t>
        </is>
      </c>
      <c r="E51" s="8" t="n"/>
      <c r="F51" s="8" t="n">
        <v>1</v>
      </c>
      <c r="G51" s="8" t="n"/>
      <c r="H51" s="8" t="n"/>
      <c r="I51" s="8" t="n"/>
      <c r="J51" s="8" t="n">
        <v>1</v>
      </c>
      <c r="K51" s="8" t="n"/>
      <c r="L51" s="8" t="n"/>
      <c r="M51" s="12">
        <f>SUM(E51:L51)</f>
        <v/>
      </c>
      <c r="N51" s="10" t="n"/>
      <c r="O51" s="11">
        <f>IF(N51="","",M51*N51)</f>
        <v/>
      </c>
      <c r="P51" s="7" t="n"/>
    </row>
    <row r="52">
      <c r="A52" s="13" t="inlineStr">
        <is>
          <t>E. AG AER (ALPEK) BAĞLANTI MALZEMELERİ - ARA TOPLAM</t>
        </is>
      </c>
      <c r="O52" s="16">
        <f>SUM(O45:O51)</f>
        <v/>
      </c>
      <c r="P52" s="15" t="n"/>
    </row>
    <row r="54">
      <c r="A54" s="4" t="inlineStr">
        <is>
          <t>F. TOPRAKLAMA MALZEMELERİ</t>
        </is>
      </c>
    </row>
    <row r="55" ht="15" customHeight="1">
      <c r="A55" s="5" t="n">
        <v>35</v>
      </c>
      <c r="B55" s="6" t="n"/>
      <c r="C55" s="7" t="inlineStr">
        <is>
          <t>Topraklama çubuğu, bakır kaplı çelik Ø5/8" (16 mm) x 1,5 m</t>
        </is>
      </c>
      <c r="D55" s="5" t="inlineStr">
        <is>
          <t>Adet</t>
        </is>
      </c>
      <c r="E55" s="8" t="n">
        <v>4</v>
      </c>
      <c r="F55" s="8" t="n">
        <v>2</v>
      </c>
      <c r="G55" s="8" t="n">
        <v>1</v>
      </c>
      <c r="H55" s="8" t="n">
        <v>1</v>
      </c>
      <c r="I55" s="8" t="n">
        <v>1</v>
      </c>
      <c r="J55" s="8" t="n">
        <v>2</v>
      </c>
      <c r="K55" s="8" t="n"/>
      <c r="L55" s="8" t="n"/>
      <c r="M55" s="12">
        <f>SUM(E55:L55)</f>
        <v/>
      </c>
      <c r="N55" s="10" t="n"/>
      <c r="O55" s="11">
        <f>IF(N55="","",M55*N55)</f>
        <v/>
      </c>
      <c r="P55" s="7" t="inlineStr">
        <is>
          <t>D2, D6: +1 AG nötr topraklaması</t>
        </is>
      </c>
    </row>
    <row r="56" ht="15" customHeight="1">
      <c r="A56" s="5" t="n">
        <v>36</v>
      </c>
      <c r="B56" s="6" t="n"/>
      <c r="C56" s="7" t="inlineStr">
        <is>
          <t>50 mm² örgülü çıplak bakır topraklama iletkeni (koruma topraklaması)</t>
        </is>
      </c>
      <c r="D56" s="5" t="inlineStr">
        <is>
          <t>m</t>
        </is>
      </c>
      <c r="E56" s="8" t="n">
        <v>30</v>
      </c>
      <c r="F56" s="8" t="n">
        <v>6</v>
      </c>
      <c r="G56" s="8" t="n">
        <v>6</v>
      </c>
      <c r="H56" s="8" t="n">
        <v>6</v>
      </c>
      <c r="I56" s="8" t="n">
        <v>6</v>
      </c>
      <c r="J56" s="8" t="n">
        <v>6</v>
      </c>
      <c r="K56" s="8" t="n"/>
      <c r="L56" s="8" t="n"/>
      <c r="M56" s="12">
        <f>SUM(E56:L56)</f>
        <v/>
      </c>
      <c r="N56" s="10" t="n"/>
      <c r="O56" s="11">
        <f>IF(N56="","",M56*N56)</f>
        <v/>
      </c>
      <c r="P56" s="7" t="n"/>
    </row>
    <row r="57" ht="15" customHeight="1">
      <c r="A57" s="5" t="n">
        <v>37</v>
      </c>
      <c r="B57" s="6" t="n"/>
      <c r="C57" s="7" t="inlineStr">
        <is>
          <t>16 mm² izoleli bakır iletken H07V-K (AG nötr topraklaması)</t>
        </is>
      </c>
      <c r="D57" s="5" t="inlineStr">
        <is>
          <t>m</t>
        </is>
      </c>
      <c r="E57" s="8" t="n"/>
      <c r="F57" s="8" t="n">
        <v>10</v>
      </c>
      <c r="G57" s="8" t="n"/>
      <c r="H57" s="8" t="n"/>
      <c r="I57" s="8" t="n"/>
      <c r="J57" s="8" t="n">
        <v>10</v>
      </c>
      <c r="K57" s="8" t="n"/>
      <c r="L57" s="8" t="n"/>
      <c r="M57" s="12">
        <f>SUM(E57:L57)</f>
        <v/>
      </c>
      <c r="N57" s="10" t="n"/>
      <c r="O57" s="11">
        <f>IF(N57="","",M57*N57)</f>
        <v/>
      </c>
      <c r="P57" s="7" t="n"/>
    </row>
    <row r="58" ht="15" customHeight="1">
      <c r="A58" s="5" t="n">
        <v>38</v>
      </c>
      <c r="B58" s="6" t="n"/>
      <c r="C58" s="7" t="inlineStr">
        <is>
          <t>PVC koruma borusu Ø20 mm (nötr topraklama inişi)</t>
        </is>
      </c>
      <c r="D58" s="5" t="inlineStr">
        <is>
          <t>m</t>
        </is>
      </c>
      <c r="E58" s="8" t="n"/>
      <c r="F58" s="8" t="n">
        <v>3</v>
      </c>
      <c r="G58" s="8" t="n"/>
      <c r="H58" s="8" t="n"/>
      <c r="I58" s="8" t="n"/>
      <c r="J58" s="8" t="n">
        <v>3</v>
      </c>
      <c r="K58" s="8" t="n"/>
      <c r="L58" s="8" t="n"/>
      <c r="M58" s="12">
        <f>SUM(E58:L58)</f>
        <v/>
      </c>
      <c r="N58" s="10" t="n"/>
      <c r="O58" s="11">
        <f>IF(N58="","",M58*N58)</f>
        <v/>
      </c>
      <c r="P58" s="7" t="n"/>
    </row>
    <row r="59" ht="15" customHeight="1">
      <c r="A59" s="5" t="n">
        <v>39</v>
      </c>
      <c r="B59" s="6" t="n"/>
      <c r="C59" s="7" t="inlineStr">
        <is>
          <t>Topraklama çubuğu-iletken bağlantı klemensi (bakır)</t>
        </is>
      </c>
      <c r="D59" s="5" t="inlineStr">
        <is>
          <t>Adet</t>
        </is>
      </c>
      <c r="E59" s="8" t="n">
        <v>4</v>
      </c>
      <c r="F59" s="8" t="n">
        <v>2</v>
      </c>
      <c r="G59" s="8" t="n">
        <v>1</v>
      </c>
      <c r="H59" s="8" t="n">
        <v>1</v>
      </c>
      <c r="I59" s="8" t="n">
        <v>1</v>
      </c>
      <c r="J59" s="8" t="n">
        <v>2</v>
      </c>
      <c r="K59" s="8" t="n"/>
      <c r="L59" s="8" t="n"/>
      <c r="M59" s="12">
        <f>SUM(E59:L59)</f>
        <v/>
      </c>
      <c r="N59" s="10" t="n"/>
      <c r="O59" s="11">
        <f>IF(N59="","",M59*N59)</f>
        <v/>
      </c>
      <c r="P59" s="7" t="n"/>
    </row>
    <row r="60" ht="15" customHeight="1">
      <c r="A60" s="5" t="n">
        <v>40</v>
      </c>
      <c r="B60" s="6" t="n"/>
      <c r="C60" s="7" t="inlineStr">
        <is>
          <t>Direk topraklama bağlantı klemensi / cıvatası (bakır pabuçlu)</t>
        </is>
      </c>
      <c r="D60" s="5" t="inlineStr">
        <is>
          <t>Adet</t>
        </is>
      </c>
      <c r="E60" s="8" t="n">
        <v>2</v>
      </c>
      <c r="F60" s="8" t="n">
        <v>1</v>
      </c>
      <c r="G60" s="8" t="n">
        <v>1</v>
      </c>
      <c r="H60" s="8" t="n">
        <v>1</v>
      </c>
      <c r="I60" s="8" t="n">
        <v>1</v>
      </c>
      <c r="J60" s="8" t="n">
        <v>1</v>
      </c>
      <c r="K60" s="8" t="n"/>
      <c r="L60" s="8" t="n"/>
      <c r="M60" s="12">
        <f>SUM(E60:L60)</f>
        <v/>
      </c>
      <c r="N60" s="10" t="n"/>
      <c r="O60" s="11">
        <f>IF(N60="","",M60*N60)</f>
        <v/>
      </c>
      <c r="P60" s="7" t="n"/>
    </row>
    <row r="61" ht="15" customHeight="1">
      <c r="A61" s="5" t="n">
        <v>41</v>
      </c>
      <c r="B61" s="6" t="n"/>
      <c r="C61" s="7" t="inlineStr">
        <is>
          <t>Topraklama ölçüm (muayene) klemensi / kutusu</t>
        </is>
      </c>
      <c r="D61" s="5" t="inlineStr">
        <is>
          <t>Adet</t>
        </is>
      </c>
      <c r="E61" s="8" t="n">
        <v>1</v>
      </c>
      <c r="F61" s="8" t="n">
        <v>1</v>
      </c>
      <c r="G61" s="8" t="n"/>
      <c r="H61" s="8" t="n"/>
      <c r="I61" s="8" t="n"/>
      <c r="J61" s="8" t="n">
        <v>1</v>
      </c>
      <c r="K61" s="8" t="n"/>
      <c r="L61" s="8" t="n"/>
      <c r="M61" s="12">
        <f>SUM(E61:L61)</f>
        <v/>
      </c>
      <c r="N61" s="10" t="n"/>
      <c r="O61" s="11">
        <f>IF(N61="","",M61*N61)</f>
        <v/>
      </c>
      <c r="P61" s="7" t="n"/>
    </row>
    <row r="62">
      <c r="A62" s="13" t="inlineStr">
        <is>
          <t>F. TOPRAKLAMA MALZEMELERİ - ARA TOPLAM</t>
        </is>
      </c>
      <c r="O62" s="16">
        <f>SUM(O55:O61)</f>
        <v/>
      </c>
      <c r="P62" s="15" t="n"/>
    </row>
    <row r="64">
      <c r="A64" s="4" t="inlineStr">
        <is>
          <t>G. İŞARET LEVHALARI VE DİĞER</t>
        </is>
      </c>
    </row>
    <row r="65" ht="15" customHeight="1">
      <c r="A65" s="5" t="n">
        <v>42</v>
      </c>
      <c r="B65" s="6" t="n"/>
      <c r="C65" s="7" t="inlineStr">
        <is>
          <t>Ölüm tehlike levhası (emaye, EKATY Md.44-p, zeminden ≥ 2,5 m)</t>
        </is>
      </c>
      <c r="D65" s="5" t="inlineStr">
        <is>
          <t>Adet</t>
        </is>
      </c>
      <c r="E65" s="8" t="n">
        <v>1</v>
      </c>
      <c r="F65" s="8" t="n">
        <v>1</v>
      </c>
      <c r="G65" s="8" t="n">
        <v>1</v>
      </c>
      <c r="H65" s="8" t="n">
        <v>1</v>
      </c>
      <c r="I65" s="8" t="n">
        <v>1</v>
      </c>
      <c r="J65" s="8" t="n">
        <v>1</v>
      </c>
      <c r="K65" s="8" t="n"/>
      <c r="L65" s="8" t="n"/>
      <c r="M65" s="12">
        <f>SUM(E65:L65)</f>
        <v/>
      </c>
      <c r="N65" s="10" t="n"/>
      <c r="O65" s="11">
        <f>IF(N65="","",M65*N65)</f>
        <v/>
      </c>
      <c r="P65" s="7" t="n"/>
    </row>
    <row r="66" ht="15" customHeight="1">
      <c r="A66" s="5" t="n">
        <v>43</v>
      </c>
      <c r="B66" s="6" t="n"/>
      <c r="C66" s="7" t="inlineStr">
        <is>
          <t>Direk numara levhası</t>
        </is>
      </c>
      <c r="D66" s="5" t="inlineStr">
        <is>
          <t>Adet</t>
        </is>
      </c>
      <c r="E66" s="8" t="n">
        <v>1</v>
      </c>
      <c r="F66" s="8" t="n">
        <v>1</v>
      </c>
      <c r="G66" s="8" t="n">
        <v>1</v>
      </c>
      <c r="H66" s="8" t="n">
        <v>1</v>
      </c>
      <c r="I66" s="8" t="n">
        <v>1</v>
      </c>
      <c r="J66" s="8" t="n">
        <v>1</v>
      </c>
      <c r="K66" s="8" t="n"/>
      <c r="L66" s="8" t="n"/>
      <c r="M66" s="12">
        <f>SUM(E66:L66)</f>
        <v/>
      </c>
      <c r="N66" s="10" t="n"/>
      <c r="O66" s="11">
        <f>IF(N66="","",M66*N66)</f>
        <v/>
      </c>
      <c r="P66" s="7" t="n"/>
    </row>
    <row r="67" ht="15" customHeight="1">
      <c r="A67" s="5" t="n">
        <v>44</v>
      </c>
      <c r="B67" s="6" t="n"/>
      <c r="C67" s="7" t="inlineStr">
        <is>
          <t>Ayırıcı işletme/numara levhası</t>
        </is>
      </c>
      <c r="D67" s="5" t="inlineStr">
        <is>
          <t>Adet</t>
        </is>
      </c>
      <c r="E67" s="8" t="n">
        <v>1</v>
      </c>
      <c r="F67" s="8" t="n"/>
      <c r="G67" s="8" t="n"/>
      <c r="H67" s="8" t="n"/>
      <c r="I67" s="8" t="n"/>
      <c r="J67" s="8" t="n"/>
      <c r="K67" s="8" t="n"/>
      <c r="L67" s="8" t="n"/>
      <c r="M67" s="12">
        <f>SUM(E67:L67)</f>
        <v/>
      </c>
      <c r="N67" s="10" t="n"/>
      <c r="O67" s="11">
        <f>IF(N67="","",M67*N67)</f>
        <v/>
      </c>
      <c r="P67" s="7" t="n"/>
    </row>
    <row r="68" ht="15" customHeight="1">
      <c r="A68" s="5" t="n">
        <v>45</v>
      </c>
      <c r="B68" s="6" t="n"/>
      <c r="C68" s="7" t="inlineStr">
        <is>
          <t>Tırmanma engeli (galvanizli dikenli tel/korkuluk tipi, zeminden ≥ 4 m, EKATY Md.44-o)</t>
        </is>
      </c>
      <c r="D68" s="5" t="inlineStr">
        <is>
          <t>Takım</t>
        </is>
      </c>
      <c r="E68" s="8" t="n">
        <v>1</v>
      </c>
      <c r="F68" s="8" t="n">
        <v>1</v>
      </c>
      <c r="G68" s="8" t="n">
        <v>1</v>
      </c>
      <c r="H68" s="8" t="n">
        <v>1</v>
      </c>
      <c r="I68" s="8" t="n">
        <v>1</v>
      </c>
      <c r="J68" s="8" t="n">
        <v>1</v>
      </c>
      <c r="K68" s="8" t="n"/>
      <c r="L68" s="8" t="n"/>
      <c r="M68" s="12">
        <f>SUM(E68:L68)</f>
        <v/>
      </c>
      <c r="N68" s="10" t="n"/>
      <c r="O68" s="11">
        <f>IF(N68="","",M68*N68)</f>
        <v/>
      </c>
      <c r="P68" s="7" t="n"/>
    </row>
    <row r="69">
      <c r="A69" s="13" t="inlineStr">
        <is>
          <t>G. İŞARET LEVHALARI VE DİĞER - ARA TOPLAM</t>
        </is>
      </c>
      <c r="O69" s="16">
        <f>SUM(O65:O68)</f>
        <v/>
      </c>
      <c r="P69" s="15" t="n"/>
    </row>
    <row r="71">
      <c r="A71" s="4" t="inlineStr">
        <is>
          <t>H. İNŞAAT İŞLERİ (TEMEL)</t>
        </is>
      </c>
    </row>
    <row r="72" ht="15" customHeight="1">
      <c r="A72" s="5" t="n">
        <v>46</v>
      </c>
      <c r="B72" s="6" t="n"/>
      <c r="C72" s="7" t="inlineStr">
        <is>
          <t>Direk temel çukuru kazısı, her cins zeminde (kaya hariç), elle/makine ile</t>
        </is>
      </c>
      <c r="D72" s="5" t="inlineStr">
        <is>
          <t>m³</t>
        </is>
      </c>
      <c r="E72" s="8" t="n">
        <v>3.456</v>
      </c>
      <c r="F72" s="8" t="n">
        <v>3.456</v>
      </c>
      <c r="G72" s="8" t="n">
        <v>1.38</v>
      </c>
      <c r="H72" s="8" t="n">
        <v>1.38</v>
      </c>
      <c r="I72" s="8" t="n">
        <v>3.456</v>
      </c>
      <c r="J72" s="8" t="n">
        <v>3.312</v>
      </c>
      <c r="K72" s="8" t="n"/>
      <c r="L72" s="8" t="n"/>
      <c r="M72" s="12">
        <f>SUM(E72:L72)</f>
        <v/>
      </c>
      <c r="N72" s="10" t="n"/>
      <c r="O72" s="11">
        <f>IF(N72="","",M72*N72)</f>
        <v/>
      </c>
      <c r="P72" s="7" t="inlineStr">
        <is>
          <t>Kaya çıkarsa ayrı poz</t>
        </is>
      </c>
    </row>
    <row r="73" ht="15" customHeight="1">
      <c r="A73" s="5" t="n">
        <v>47</v>
      </c>
      <c r="B73" s="6" t="n"/>
      <c r="C73" s="7" t="inlineStr">
        <is>
          <t>C20/25 hazır beton, temel ve yağmurluk başlığı dahil (demirsiz, monoblok)</t>
        </is>
      </c>
      <c r="D73" s="5" t="inlineStr">
        <is>
          <t>m³</t>
        </is>
      </c>
      <c r="E73" s="8" t="n">
        <v>3.744</v>
      </c>
      <c r="F73" s="8" t="n">
        <v>3.744</v>
      </c>
      <c r="G73" s="8" t="n">
        <v>1.518</v>
      </c>
      <c r="H73" s="8" t="n">
        <v>1.518</v>
      </c>
      <c r="I73" s="8" t="n">
        <v>3.744</v>
      </c>
      <c r="J73" s="8" t="n">
        <v>3.6</v>
      </c>
      <c r="K73" s="8" t="n"/>
      <c r="L73" s="8" t="n"/>
      <c r="M73" s="12">
        <f>SUM(E73:L73)</f>
        <v/>
      </c>
      <c r="N73" s="10" t="n"/>
      <c r="O73" s="11">
        <f>IF(N73="","",M73*N73)</f>
        <v/>
      </c>
      <c r="P73" s="7" t="inlineStr">
        <is>
          <t>Net hacim</t>
        </is>
      </c>
    </row>
    <row r="74" ht="15" customHeight="1">
      <c r="A74" s="5" t="n">
        <v>48</v>
      </c>
      <c r="B74" s="6" t="n"/>
      <c r="C74" s="7" t="inlineStr">
        <is>
          <t>Ahşap kalıp (temel başlığı, zemin üstü 0,20 m + 0,10 m)</t>
        </is>
      </c>
      <c r="D74" s="5" t="inlineStr">
        <is>
          <t>m²</t>
        </is>
      </c>
      <c r="E74" s="8" t="n">
        <v>1.44</v>
      </c>
      <c r="F74" s="8" t="n">
        <v>1.44</v>
      </c>
      <c r="G74" s="8" t="n">
        <v>1.05</v>
      </c>
      <c r="H74" s="8" t="n">
        <v>1.05</v>
      </c>
      <c r="I74" s="8" t="n">
        <v>1.44</v>
      </c>
      <c r="J74" s="8" t="n">
        <v>1.44</v>
      </c>
      <c r="K74" s="8" t="n"/>
      <c r="L74" s="8" t="n"/>
      <c r="M74" s="12">
        <f>SUM(E74:L74)</f>
        <v/>
      </c>
      <c r="N74" s="10" t="n"/>
      <c r="O74" s="11">
        <f>IF(N74="","",M74*N74)</f>
        <v/>
      </c>
      <c r="P74" s="7" t="n"/>
    </row>
    <row r="75" ht="15" customHeight="1">
      <c r="A75" s="5" t="n">
        <v>49</v>
      </c>
      <c r="B75" s="6" t="n"/>
      <c r="C75" s="7" t="inlineStr">
        <is>
          <t>Kazı fazlası toprağın yüklenmesi, taşınması ve dökülmesi</t>
        </is>
      </c>
      <c r="D75" s="5" t="inlineStr">
        <is>
          <t>m³</t>
        </is>
      </c>
      <c r="E75" s="8" t="n">
        <v>3.456</v>
      </c>
      <c r="F75" s="8" t="n">
        <v>3.456</v>
      </c>
      <c r="G75" s="8" t="n">
        <v>1.38</v>
      </c>
      <c r="H75" s="8" t="n">
        <v>1.38</v>
      </c>
      <c r="I75" s="8" t="n">
        <v>3.456</v>
      </c>
      <c r="J75" s="8" t="n">
        <v>3.312</v>
      </c>
      <c r="K75" s="8" t="n"/>
      <c r="L75" s="8" t="n"/>
      <c r="M75" s="12">
        <f>SUM(E75:L75)</f>
        <v/>
      </c>
      <c r="N75" s="10" t="n"/>
      <c r="O75" s="11">
        <f>IF(N75="","",M75*N75)</f>
        <v/>
      </c>
      <c r="P75" s="7" t="n"/>
    </row>
    <row r="76" ht="15" customHeight="1">
      <c r="A76" s="5" t="n">
        <v>50</v>
      </c>
      <c r="B76" s="6" t="n"/>
      <c r="C76" s="7" t="inlineStr">
        <is>
          <t>Beton kürü (sulama/örtme) ve temel çevresi tesviyesi</t>
        </is>
      </c>
      <c r="D76" s="5" t="inlineStr">
        <is>
          <t>Adet</t>
        </is>
      </c>
      <c r="E76" s="8" t="n">
        <v>1</v>
      </c>
      <c r="F76" s="8" t="n">
        <v>1</v>
      </c>
      <c r="G76" s="8" t="n">
        <v>1</v>
      </c>
      <c r="H76" s="8" t="n">
        <v>1</v>
      </c>
      <c r="I76" s="8" t="n">
        <v>1</v>
      </c>
      <c r="J76" s="8" t="n">
        <v>1</v>
      </c>
      <c r="K76" s="8" t="n"/>
      <c r="L76" s="8" t="n"/>
      <c r="M76" s="12">
        <f>SUM(E76:L76)</f>
        <v/>
      </c>
      <c r="N76" s="10" t="n"/>
      <c r="O76" s="11">
        <f>IF(N76="","",M76*N76)</f>
        <v/>
      </c>
      <c r="P76" s="7" t="n"/>
    </row>
    <row r="77">
      <c r="A77" s="13" t="inlineStr">
        <is>
          <t>H. İNŞAAT İŞLERİ (TEMEL) - ARA TOPLAM</t>
        </is>
      </c>
      <c r="O77" s="16">
        <f>SUM(O72:O76)</f>
        <v/>
      </c>
      <c r="P77" s="15" t="n"/>
    </row>
    <row r="79">
      <c r="A79" s="4" t="inlineStr">
        <is>
          <t>I. MONTAJ VE DİĞER İŞLER</t>
        </is>
      </c>
    </row>
    <row r="80" ht="15" customHeight="1">
      <c r="A80" s="5" t="n">
        <v>51</v>
      </c>
      <c r="B80" s="6" t="n"/>
      <c r="C80" s="7" t="inlineStr">
        <is>
          <t>K5'' tipi demir direk nakli, montajı ve dikimi (temele gömme, şakulüne alma)</t>
        </is>
      </c>
      <c r="D80" s="5" t="inlineStr">
        <is>
          <t>Adet</t>
        </is>
      </c>
      <c r="E80" s="8" t="n">
        <v>1</v>
      </c>
      <c r="F80" s="8" t="n">
        <v>1</v>
      </c>
      <c r="G80" s="8" t="n"/>
      <c r="H80" s="8" t="n"/>
      <c r="I80" s="8" t="n">
        <v>1</v>
      </c>
      <c r="J80" s="8" t="n"/>
      <c r="K80" s="8" t="n"/>
      <c r="L80" s="8" t="n"/>
      <c r="M80" s="12">
        <f>SUM(E80:L80)</f>
        <v/>
      </c>
      <c r="N80" s="10" t="n"/>
      <c r="O80" s="11">
        <f>IF(N80="","",M80*N80)</f>
        <v/>
      </c>
      <c r="P80" s="7" t="n"/>
    </row>
    <row r="81" ht="15" customHeight="1">
      <c r="A81" s="5" t="n">
        <v>52</v>
      </c>
      <c r="B81" s="6" t="n"/>
      <c r="C81" s="7" t="inlineStr">
        <is>
          <t>K4'' tipi demir direk nakli, montajı ve dikimi (temele gömme, şakulüne alma)</t>
        </is>
      </c>
      <c r="D81" s="5" t="inlineStr">
        <is>
          <t>Adet</t>
        </is>
      </c>
      <c r="E81" s="8" t="n"/>
      <c r="F81" s="8" t="n"/>
      <c r="G81" s="8" t="n"/>
      <c r="H81" s="8" t="n"/>
      <c r="I81" s="8" t="n"/>
      <c r="J81" s="8" t="n">
        <v>1</v>
      </c>
      <c r="K81" s="8" t="n"/>
      <c r="L81" s="8" t="n"/>
      <c r="M81" s="12">
        <f>SUM(E81:L81)</f>
        <v/>
      </c>
      <c r="N81" s="10" t="n"/>
      <c r="O81" s="11">
        <f>IF(N81="","",M81*N81)</f>
        <v/>
      </c>
      <c r="P81" s="7" t="n"/>
    </row>
    <row r="82" ht="15" customHeight="1">
      <c r="A82" s="5" t="n">
        <v>53</v>
      </c>
      <c r="B82" s="6" t="n"/>
      <c r="C82" s="7" t="inlineStr">
        <is>
          <t>12U'' tipi demir direk nakli, montajı ve dikimi (temele gömme, şakulüne alma)</t>
        </is>
      </c>
      <c r="D82" s="5" t="inlineStr">
        <is>
          <t>Adet</t>
        </is>
      </c>
      <c r="E82" s="8" t="n"/>
      <c r="F82" s="8" t="n"/>
      <c r="G82" s="8" t="n">
        <v>1</v>
      </c>
      <c r="H82" s="8" t="n">
        <v>1</v>
      </c>
      <c r="I82" s="8" t="n"/>
      <c r="J82" s="8" t="n"/>
      <c r="K82" s="8" t="n"/>
      <c r="L82" s="8" t="n"/>
      <c r="M82" s="12">
        <f>SUM(E82:L82)</f>
        <v/>
      </c>
      <c r="N82" s="10" t="n"/>
      <c r="O82" s="11">
        <f>IF(N82="","",M82*N82)</f>
        <v/>
      </c>
      <c r="P82" s="7" t="n"/>
    </row>
    <row r="83" ht="15" customHeight="1">
      <c r="A83" s="5" t="n">
        <v>54</v>
      </c>
      <c r="B83" s="6" t="n"/>
      <c r="C83" s="7" t="inlineStr">
        <is>
          <t>OG potans/travers montajı</t>
        </is>
      </c>
      <c r="D83" s="5" t="inlineStr">
        <is>
          <t>Adet</t>
        </is>
      </c>
      <c r="E83" s="8" t="n">
        <v>1</v>
      </c>
      <c r="F83" s="8" t="n">
        <v>1</v>
      </c>
      <c r="G83" s="8" t="n">
        <v>1</v>
      </c>
      <c r="H83" s="8" t="n">
        <v>1</v>
      </c>
      <c r="I83" s="8" t="n">
        <v>1</v>
      </c>
      <c r="J83" s="8" t="n">
        <v>1</v>
      </c>
      <c r="K83" s="8" t="n"/>
      <c r="L83" s="8" t="n"/>
      <c r="M83" s="12">
        <f>SUM(E83:L83)</f>
        <v/>
      </c>
      <c r="N83" s="10" t="n"/>
      <c r="O83" s="11">
        <f>IF(N83="","",M83*N83)</f>
        <v/>
      </c>
      <c r="P83" s="7" t="n"/>
    </row>
    <row r="84" ht="15" customHeight="1">
      <c r="A84" s="5" t="n">
        <v>55</v>
      </c>
      <c r="B84" s="6" t="n"/>
      <c r="C84" s="7" t="inlineStr">
        <is>
          <t>OG gergi izolatör takımı montajı (izolatör + klemens + bağlantı)</t>
        </is>
      </c>
      <c r="D84" s="5" t="inlineStr">
        <is>
          <t>Takım</t>
        </is>
      </c>
      <c r="E84" s="8" t="n">
        <v>6</v>
      </c>
      <c r="F84" s="8" t="n">
        <v>6</v>
      </c>
      <c r="G84" s="8" t="n"/>
      <c r="H84" s="8" t="n"/>
      <c r="I84" s="8" t="n">
        <v>6</v>
      </c>
      <c r="J84" s="8" t="n">
        <v>3</v>
      </c>
      <c r="K84" s="8" t="n">
        <v>3</v>
      </c>
      <c r="L84" s="8" t="n"/>
      <c r="M84" s="12">
        <f>SUM(E84:L84)</f>
        <v/>
      </c>
      <c r="N84" s="10" t="n"/>
      <c r="O84" s="11">
        <f>IF(N84="","",M84*N84)</f>
        <v/>
      </c>
      <c r="P84" s="7" t="n"/>
    </row>
    <row r="85" ht="15" customHeight="1">
      <c r="A85" s="5" t="n">
        <v>56</v>
      </c>
      <c r="B85" s="6" t="n"/>
      <c r="C85" s="7" t="inlineStr">
        <is>
          <t>OG mesnet izolatörü montajı</t>
        </is>
      </c>
      <c r="D85" s="5" t="inlineStr">
        <is>
          <t>Adet</t>
        </is>
      </c>
      <c r="E85" s="8" t="n"/>
      <c r="F85" s="8" t="n">
        <v>1</v>
      </c>
      <c r="G85" s="8" t="n">
        <v>3</v>
      </c>
      <c r="H85" s="8" t="n">
        <v>3</v>
      </c>
      <c r="I85" s="8" t="n">
        <v>1</v>
      </c>
      <c r="J85" s="8" t="n"/>
      <c r="K85" s="8" t="n"/>
      <c r="L85" s="8" t="n"/>
      <c r="M85" s="12">
        <f>SUM(E85:L85)</f>
        <v/>
      </c>
      <c r="N85" s="10" t="n"/>
      <c r="O85" s="11">
        <f>IF(N85="","",M85*N85)</f>
        <v/>
      </c>
      <c r="P85" s="7" t="n"/>
    </row>
    <row r="86" ht="15" customHeight="1">
      <c r="A86" s="5" t="n">
        <v>57</v>
      </c>
      <c r="B86" s="6" t="n"/>
      <c r="C86" s="7" t="inlineStr">
        <is>
          <t>3/0 AWG Pigeon iletken çekimi, germe ve sehim ayarı (3 faz)</t>
        </is>
      </c>
      <c r="D86" s="5" t="inlineStr">
        <is>
          <t>Hat-m</t>
        </is>
      </c>
      <c r="E86" s="8" t="n"/>
      <c r="F86" s="8" t="n"/>
      <c r="G86" s="8" t="n"/>
      <c r="H86" s="8" t="n"/>
      <c r="I86" s="8" t="n"/>
      <c r="J86" s="8" t="n"/>
      <c r="K86" s="8" t="n"/>
      <c r="L86" s="8" t="n">
        <v>275</v>
      </c>
      <c r="M86" s="12">
        <f>SUM(E86:L86)</f>
        <v/>
      </c>
      <c r="N86" s="10" t="n"/>
      <c r="O86" s="11">
        <f>IF(N86="","",M86*N86)</f>
        <v/>
      </c>
      <c r="P86" s="7" t="inlineStr">
        <is>
          <t>Güzergâh uzunluğu</t>
        </is>
      </c>
    </row>
    <row r="87" ht="15" customHeight="1">
      <c r="A87" s="5" t="n">
        <v>58</v>
      </c>
      <c r="B87" s="6" t="n"/>
      <c r="C87" s="7" t="inlineStr">
        <is>
          <t>AER 3x95+70 çekimi, germe, askı/germe pensi montajı</t>
        </is>
      </c>
      <c r="D87" s="5" t="inlineStr">
        <is>
          <t>m</t>
        </is>
      </c>
      <c r="E87" s="8" t="n"/>
      <c r="F87" s="8" t="n"/>
      <c r="G87" s="8" t="n"/>
      <c r="H87" s="8" t="n"/>
      <c r="I87" s="8" t="n"/>
      <c r="J87" s="8" t="n"/>
      <c r="K87" s="8" t="n"/>
      <c r="L87" s="8" t="n">
        <v>240</v>
      </c>
      <c r="M87" s="12">
        <f>SUM(E87:L87)</f>
        <v/>
      </c>
      <c r="N87" s="10" t="n"/>
      <c r="O87" s="11">
        <f>IF(N87="","",M87*N87)</f>
        <v/>
      </c>
      <c r="P87" s="7" t="n"/>
    </row>
    <row r="88" ht="15" customHeight="1">
      <c r="A88" s="5" t="n">
        <v>59</v>
      </c>
      <c r="B88" s="6" t="n"/>
      <c r="C88" s="7" t="inlineStr">
        <is>
          <t>Ayırıcı (seksiyoner) montajı, kumanda mekanizması ve ayarı</t>
        </is>
      </c>
      <c r="D88" s="5" t="inlineStr">
        <is>
          <t>Takım</t>
        </is>
      </c>
      <c r="E88" s="8" t="n">
        <v>1</v>
      </c>
      <c r="F88" s="8" t="n"/>
      <c r="G88" s="8" t="n"/>
      <c r="H88" s="8" t="n"/>
      <c r="I88" s="8" t="n"/>
      <c r="J88" s="8" t="n"/>
      <c r="K88" s="8" t="n"/>
      <c r="L88" s="8" t="n"/>
      <c r="M88" s="12">
        <f>SUM(E88:L88)</f>
        <v/>
      </c>
      <c r="N88" s="10" t="n"/>
      <c r="O88" s="11">
        <f>IF(N88="","",M88*N88)</f>
        <v/>
      </c>
      <c r="P88" s="7" t="n"/>
    </row>
    <row r="89" ht="15" customHeight="1">
      <c r="A89" s="5" t="n">
        <v>60</v>
      </c>
      <c r="B89" s="6" t="n"/>
      <c r="C89" s="7" t="inlineStr">
        <is>
          <t>Topraklama tesisi (çubuk çakımı, iletken bağlantısı) ve topraklama direnci ölçümü</t>
        </is>
      </c>
      <c r="D89" s="5" t="inlineStr">
        <is>
          <t>Adet</t>
        </is>
      </c>
      <c r="E89" s="8" t="n">
        <v>1</v>
      </c>
      <c r="F89" s="8" t="n">
        <v>1</v>
      </c>
      <c r="G89" s="8" t="n">
        <v>1</v>
      </c>
      <c r="H89" s="8" t="n">
        <v>1</v>
      </c>
      <c r="I89" s="8" t="n">
        <v>1</v>
      </c>
      <c r="J89" s="8" t="n">
        <v>1</v>
      </c>
      <c r="K89" s="8" t="n"/>
      <c r="L89" s="8" t="n"/>
      <c r="M89" s="12">
        <f>SUM(E89:L89)</f>
        <v/>
      </c>
      <c r="N89" s="10" t="n"/>
      <c r="O89" s="11">
        <f>IF(N89="","",M89*N89)</f>
        <v/>
      </c>
      <c r="P89" s="7" t="n"/>
    </row>
    <row r="90" ht="15" customHeight="1">
      <c r="A90" s="5" t="n">
        <v>61</v>
      </c>
      <c r="B90" s="6" t="n"/>
      <c r="C90" s="7" t="inlineStr">
        <is>
          <t>Mevcut 34,5 kV hatta bağlantı (enerji kesintili, branşman)</t>
        </is>
      </c>
      <c r="D90" s="5" t="inlineStr">
        <is>
          <t>Adet</t>
        </is>
      </c>
      <c r="E90" s="8" t="n"/>
      <c r="F90" s="8" t="n"/>
      <c r="G90" s="8" t="n"/>
      <c r="H90" s="8" t="n"/>
      <c r="I90" s="8" t="n"/>
      <c r="J90" s="8" t="n"/>
      <c r="K90" s="8" t="n">
        <v>1</v>
      </c>
      <c r="L90" s="8" t="n"/>
      <c r="M90" s="12">
        <f>SUM(E90:L90)</f>
        <v/>
      </c>
      <c r="N90" s="10" t="n"/>
      <c r="O90" s="11">
        <f>IF(N90="","",M90*N90)</f>
        <v/>
      </c>
      <c r="P90" s="7" t="n"/>
    </row>
    <row r="91" ht="15" customHeight="1">
      <c r="A91" s="5" t="n">
        <v>62</v>
      </c>
      <c r="B91" s="6" t="n"/>
      <c r="C91" s="7" t="inlineStr">
        <is>
          <t>Güzergâh aplikasyonu, kazık çakımı ve profil ölçümü</t>
        </is>
      </c>
      <c r="D91" s="5" t="inlineStr">
        <is>
          <t>m</t>
        </is>
      </c>
      <c r="E91" s="8" t="n"/>
      <c r="F91" s="8" t="n"/>
      <c r="G91" s="8" t="n"/>
      <c r="H91" s="8" t="n"/>
      <c r="I91" s="8" t="n"/>
      <c r="J91" s="8" t="n"/>
      <c r="K91" s="8" t="n"/>
      <c r="L91" s="8" t="n">
        <v>275</v>
      </c>
      <c r="M91" s="12">
        <f>SUM(E91:L91)</f>
        <v/>
      </c>
      <c r="N91" s="10" t="n"/>
      <c r="O91" s="11">
        <f>IF(N91="","",M91*N91)</f>
        <v/>
      </c>
      <c r="P91" s="7" t="n"/>
    </row>
    <row r="92" ht="15" customHeight="1">
      <c r="A92" s="5" t="n">
        <v>63</v>
      </c>
      <c r="B92" s="6" t="n"/>
      <c r="C92" s="7" t="inlineStr">
        <is>
          <t>İşletmeye alma testleri (izolasyon, faz sırası, sehim kontrolü)</t>
        </is>
      </c>
      <c r="D92" s="5" t="inlineStr">
        <is>
          <t>Adet</t>
        </is>
      </c>
      <c r="E92" s="8" t="n"/>
      <c r="F92" s="8" t="n"/>
      <c r="G92" s="8" t="n"/>
      <c r="H92" s="8" t="n"/>
      <c r="I92" s="8" t="n"/>
      <c r="J92" s="8" t="n"/>
      <c r="K92" s="8" t="n"/>
      <c r="L92" s="8" t="n">
        <v>1</v>
      </c>
      <c r="M92" s="12">
        <f>SUM(E92:L92)</f>
        <v/>
      </c>
      <c r="N92" s="10" t="n"/>
      <c r="O92" s="11">
        <f>IF(N92="","",M92*N92)</f>
        <v/>
      </c>
      <c r="P92" s="7" t="n"/>
    </row>
    <row r="93">
      <c r="A93" s="13" t="inlineStr">
        <is>
          <t>I. MONTAJ VE DİĞER İŞLER - ARA TOPLAM</t>
        </is>
      </c>
      <c r="O93" s="16">
        <f>SUM(O80:O92)</f>
        <v/>
      </c>
      <c r="P93" s="15" t="n"/>
    </row>
    <row r="95">
      <c r="A95" s="17" t="inlineStr">
        <is>
          <t>GENEL TOPLAM (KDV HARİÇ)</t>
        </is>
      </c>
      <c r="O95" s="18">
        <f>O14+O19+O32+O42+O52+O62+O69+O77+O93</f>
        <v/>
      </c>
    </row>
    <row r="96">
      <c r="A96" s="17" t="inlineStr">
        <is>
          <t>KDV (%20)</t>
        </is>
      </c>
      <c r="O96" s="19">
        <f>O95*0.20</f>
        <v/>
      </c>
    </row>
    <row r="97">
      <c r="A97" s="17" t="inlineStr">
        <is>
          <t>GENEL TOPLAM (KDV DAHİL)</t>
        </is>
      </c>
      <c r="O97" s="19">
        <f>O95+O96</f>
        <v/>
      </c>
    </row>
    <row r="99">
      <c r="A99" s="20" t="inlineStr">
        <is>
          <t>NOTLAR:</t>
        </is>
      </c>
    </row>
    <row r="100">
      <c r="A100" s="21" t="inlineStr">
        <is>
          <t>1. Miktarlar hesap_sonuclari.json'daki proje hesaplarından otomatik üretilmiştir (kaynak/kesif.py).</t>
        </is>
      </c>
    </row>
    <row r="101">
      <c r="A101" s="21" t="inlineStr">
        <is>
          <t>2. Pigeon iletken: 3 faz x 275 m güzergâh x 1,02 (sehim/kesim payı) + atlamalar = 886.5 m.</t>
        </is>
      </c>
    </row>
    <row r="102">
      <c r="A102" s="21" t="inlineStr">
        <is>
          <t>3. AER 3x95+70: 240 m x 1,03 + köşe by-pass ve uç payları = 257.2 m.</t>
        </is>
      </c>
    </row>
    <row r="103">
      <c r="A103" s="21" t="inlineStr">
        <is>
          <t>4. Beton (C20/25) toplamı 17.868 m³, kazı 16.440 m³, kalıp 7.86 m² (net; zayiat payı birim fiyat analizinde değerlendirilir).</t>
        </is>
      </c>
    </row>
    <row r="104">
      <c r="A104" s="21" t="inlineStr">
        <is>
          <t>5. Demir direk ağırlıkları TEDAŞ müşterek direk tablosundan (III. bölge, '' tipler): toplam 4386.55 kg; potans/konsol ağırlıkları hariçtir.</t>
        </is>
      </c>
    </row>
    <row r="105">
      <c r="A105" s="21" t="inlineStr">
        <is>
          <t>6. Birim fiyat ve poz numaraları güncel TEDAŞ birim fiyat kitabından girilecektir; KDV oranı gerekirse değiştirilebilir.</t>
        </is>
      </c>
    </row>
    <row r="106">
      <c r="A106" s="21" t="inlineStr">
        <is>
          <t>7. M kolonu: mevcut 34,5 kV hattın M direğinde yeni branşman bağlantısı için gerekli malzemelerdir.</t>
        </is>
      </c>
    </row>
    <row r="107">
      <c r="A107" s="21" t="inlineStr">
        <is>
          <t>8. AER 3x95+70 taşıyıcı nötr kesiti (70/95 mm²) dağıtım şirketinin güncel malzeme listesine göre teyit edilmelidir.</t>
        </is>
      </c>
    </row>
  </sheetData>
  <mergeCells count="32">
    <mergeCell ref="A5:P5"/>
    <mergeCell ref="A77:N77"/>
    <mergeCell ref="A106:P106"/>
    <mergeCell ref="A100:P100"/>
    <mergeCell ref="A69:N69"/>
    <mergeCell ref="A44:P44"/>
    <mergeCell ref="A102:P102"/>
    <mergeCell ref="A34:P34"/>
    <mergeCell ref="A64:P64"/>
    <mergeCell ref="A107:P107"/>
    <mergeCell ref="A103:P103"/>
    <mergeCell ref="A1:P1"/>
    <mergeCell ref="A2:P2"/>
    <mergeCell ref="A79:P79"/>
    <mergeCell ref="A95:N95"/>
    <mergeCell ref="A42:N42"/>
    <mergeCell ref="A54:P54"/>
    <mergeCell ref="A16:P16"/>
    <mergeCell ref="A32:N32"/>
    <mergeCell ref="A14:N14"/>
    <mergeCell ref="A104:P104"/>
    <mergeCell ref="A97:N97"/>
    <mergeCell ref="A99:P99"/>
    <mergeCell ref="A62:N62"/>
    <mergeCell ref="A96:N96"/>
    <mergeCell ref="A52:N52"/>
    <mergeCell ref="A105:P105"/>
    <mergeCell ref="A19:N19"/>
    <mergeCell ref="A101:P101"/>
    <mergeCell ref="A21:P21"/>
    <mergeCell ref="A93:N93"/>
    <mergeCell ref="A71:P71"/>
  </mergeCells>
  <pageMargins left="0.4" right="0.4" top="0.5" bottom="0.5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9" customWidth="1" min="4" max="4"/>
    <col width="10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  <col width="9" customWidth="1" min="11" max="11"/>
    <col width="9" customWidth="1" min="12" max="12"/>
    <col width="14" customWidth="1" min="13" max="13"/>
    <col width="34" customWidth="1" min="14" max="14"/>
    <col width="13" customWidth="1" min="15" max="15"/>
    <col width="11" customWidth="1" min="16" max="16"/>
    <col width="11" customWidth="1" min="17" max="17"/>
    <col width="10" customWidth="1" min="18" max="18"/>
  </cols>
  <sheetData>
    <row r="1" ht="22" customHeight="1">
      <c r="A1" s="1" t="inlineStr">
        <is>
          <t>DİREK TEPE KUVVETİ HESAP CETVELİ (EKATY Md.48-49)</t>
        </is>
      </c>
    </row>
    <row r="2">
      <c r="A2" s="2" t="inlineStr">
        <is>
          <t>Kuvvetler OG bağlantı seviyesine (H = 9,55 m) moment eşitliği ile indirgenmiştir: F = Σ Fi·hi/H. Köşe/nihayet bileşkeleri vektöreldir. Birim: kg (kgf).</t>
        </is>
      </c>
    </row>
    <row r="4" ht="32" customHeight="1">
      <c r="A4" s="3" t="inlineStr">
        <is>
          <t>Direk</t>
        </is>
      </c>
      <c r="B4" s="3" t="inlineStr">
        <is>
          <t>Görevi</t>
        </is>
      </c>
      <c r="C4" s="3" t="inlineStr">
        <is>
          <t>Seçilen tip</t>
        </is>
      </c>
      <c r="D4" s="3" t="inlineStr">
        <is>
          <t>İç açı β (°)</t>
        </is>
      </c>
      <c r="E4" s="3" t="inlineStr">
        <is>
          <t>n = 2cos(β/2)</t>
        </is>
      </c>
      <c r="F4" s="3" t="inlineStr">
        <is>
          <t>a1 (m)</t>
        </is>
      </c>
      <c r="G4" s="3" t="inlineStr">
        <is>
          <t>a2 (m)</t>
        </is>
      </c>
      <c r="H4" s="3" t="inlineStr">
        <is>
          <t>aw (m)</t>
        </is>
      </c>
      <c r="I4" s="3" t="inlineStr">
        <is>
          <t>T_OG (kg/iletken)</t>
        </is>
      </c>
      <c r="J4" s="3" t="inlineStr">
        <is>
          <t>T_AG (kg)</t>
        </is>
      </c>
      <c r="K4" s="3" t="inlineStr">
        <is>
          <t>h_AG (m)</t>
        </is>
      </c>
      <c r="L4" s="3" t="inlineStr">
        <is>
          <t>h_AG/H</t>
        </is>
      </c>
      <c r="M4" s="3" t="inlineStr">
        <is>
          <t>Hesap tepe kuvveti (kg)</t>
        </is>
      </c>
      <c r="N4" s="3" t="inlineStr">
        <is>
          <t>Belirleyici varsayım</t>
        </is>
      </c>
      <c r="O4" s="3" t="inlineStr">
        <is>
          <t>Katalog tepe kuvveti (kg)</t>
        </is>
      </c>
      <c r="P4" s="3" t="inlineStr">
        <is>
          <t>En büyük kullanım</t>
        </is>
      </c>
      <c r="Q4" s="3" t="inlineStr">
        <is>
          <t>Ağırlık (kg)</t>
        </is>
      </c>
      <c r="R4" s="3" t="inlineStr">
        <is>
          <t>Sonuç</t>
        </is>
      </c>
    </row>
    <row r="5">
      <c r="A5" s="22" t="inlineStr">
        <is>
          <t>D1</t>
        </is>
      </c>
      <c r="B5" s="7" t="inlineStr">
        <is>
          <t>Seksiyoner + köşe durdurucu</t>
        </is>
      </c>
      <c r="C5" s="22" t="inlineStr">
        <is>
          <t>K5''</t>
        </is>
      </c>
      <c r="D5" s="5" t="n">
        <v>70</v>
      </c>
      <c r="E5" s="23">
        <f>2*COS(RADIANS(D5/2))</f>
        <v/>
      </c>
      <c r="F5" s="5" t="n">
        <v>35</v>
      </c>
      <c r="G5" s="5" t="n">
        <v>45</v>
      </c>
      <c r="H5" s="24" t="n">
        <v>40</v>
      </c>
      <c r="I5" s="24" t="n">
        <v>496.5</v>
      </c>
      <c r="J5" s="24" t="n">
        <v>650</v>
      </c>
      <c r="K5" s="25" t="n">
        <v>7.050000000000001</v>
      </c>
      <c r="L5" s="26">
        <f>K5/9.55</f>
        <v/>
      </c>
      <c r="M5" s="27" t="n">
        <v>2846.7</v>
      </c>
      <c r="N5" s="7" t="inlineStr">
        <is>
          <t>V5 (en büyük çekmelerin bileşkesi)</t>
        </is>
      </c>
      <c r="O5" s="28" t="n">
        <v>4432</v>
      </c>
      <c r="P5" s="29" t="n">
        <v>0.6422956980712115</v>
      </c>
      <c r="Q5" s="30" t="n">
        <v>959.77</v>
      </c>
      <c r="R5" s="22" t="inlineStr">
        <is>
          <t>UYGUN</t>
        </is>
      </c>
    </row>
    <row r="6">
      <c r="A6" s="22" t="inlineStr">
        <is>
          <t>D2</t>
        </is>
      </c>
      <c r="B6" s="7" t="inlineStr">
        <is>
          <t>Köşe durdurucu</t>
        </is>
      </c>
      <c r="C6" s="22" t="inlineStr">
        <is>
          <t>K5''</t>
        </is>
      </c>
      <c r="D6" s="5" t="n">
        <v>80</v>
      </c>
      <c r="E6" s="23">
        <f>2*COS(RADIANS(D6/2))</f>
        <v/>
      </c>
      <c r="F6" s="5" t="n">
        <v>45</v>
      </c>
      <c r="G6" s="5" t="n">
        <v>50</v>
      </c>
      <c r="H6" s="24" t="n">
        <v>47.5</v>
      </c>
      <c r="I6" s="24" t="n">
        <v>496.5</v>
      </c>
      <c r="J6" s="24" t="n">
        <v>650</v>
      </c>
      <c r="K6" s="25" t="n">
        <v>8.050000000000001</v>
      </c>
      <c r="L6" s="26">
        <f>K6/9.55</f>
        <v/>
      </c>
      <c r="M6" s="27" t="n">
        <v>3121.5</v>
      </c>
      <c r="N6" s="7" t="inlineStr">
        <is>
          <t>V5 (en büyük çekmelerin bileşkesi)</t>
        </is>
      </c>
      <c r="O6" s="28" t="n">
        <v>4432</v>
      </c>
      <c r="P6" s="29" t="n">
        <v>0.7043065704805441</v>
      </c>
      <c r="Q6" s="30" t="n">
        <v>959.77</v>
      </c>
      <c r="R6" s="22" t="inlineStr">
        <is>
          <t>UYGUN</t>
        </is>
      </c>
    </row>
    <row r="7">
      <c r="A7" s="22" t="inlineStr">
        <is>
          <t>D3</t>
        </is>
      </c>
      <c r="B7" s="7" t="inlineStr">
        <is>
          <t>Taşıyıcı</t>
        </is>
      </c>
      <c r="C7" s="22" t="inlineStr">
        <is>
          <t>12U''</t>
        </is>
      </c>
      <c r="D7" s="5" t="n">
        <v>180</v>
      </c>
      <c r="E7" s="26" t="n">
        <v>0</v>
      </c>
      <c r="F7" s="5" t="n">
        <v>50</v>
      </c>
      <c r="G7" s="5" t="n">
        <v>50</v>
      </c>
      <c r="H7" s="24" t="n">
        <v>50</v>
      </c>
      <c r="I7" s="24" t="n">
        <v>496.5</v>
      </c>
      <c r="J7" s="24" t="n">
        <v>650</v>
      </c>
      <c r="K7" s="25" t="n">
        <v>8.050000000000001</v>
      </c>
      <c r="L7" s="26">
        <f>K7/9.55</f>
        <v/>
      </c>
      <c r="M7" s="7" t="inlineStr">
        <is>
          <t>199.7 / 182.6</t>
        </is>
      </c>
      <c r="N7" s="7" t="inlineStr">
        <is>
          <t>V3 (iletken kopması)</t>
        </is>
      </c>
      <c r="O7" s="5" t="inlineStr">
        <is>
          <t>868 / 194</t>
        </is>
      </c>
      <c r="P7" s="29" t="n">
        <v>0.9414188301757794</v>
      </c>
      <c r="Q7" s="30" t="n">
        <v>361.85</v>
      </c>
      <c r="R7" s="22" t="inlineStr">
        <is>
          <t>UYGUN</t>
        </is>
      </c>
    </row>
    <row r="8">
      <c r="A8" s="22" t="inlineStr">
        <is>
          <t>D4</t>
        </is>
      </c>
      <c r="B8" s="7" t="inlineStr">
        <is>
          <t>Taşıyıcı</t>
        </is>
      </c>
      <c r="C8" s="22" t="inlineStr">
        <is>
          <t>12U''</t>
        </is>
      </c>
      <c r="D8" s="5" t="n">
        <v>180</v>
      </c>
      <c r="E8" s="26" t="n">
        <v>0</v>
      </c>
      <c r="F8" s="5" t="n">
        <v>50</v>
      </c>
      <c r="G8" s="5" t="n">
        <v>50</v>
      </c>
      <c r="H8" s="24" t="n">
        <v>50</v>
      </c>
      <c r="I8" s="24" t="n">
        <v>496.5</v>
      </c>
      <c r="J8" s="24" t="n">
        <v>650</v>
      </c>
      <c r="K8" s="25" t="n">
        <v>8.050000000000001</v>
      </c>
      <c r="L8" s="26">
        <f>K8/9.55</f>
        <v/>
      </c>
      <c r="M8" s="7" t="inlineStr">
        <is>
          <t>199.7 / 182.6</t>
        </is>
      </c>
      <c r="N8" s="7" t="inlineStr">
        <is>
          <t>V3 (iletken kopması)</t>
        </is>
      </c>
      <c r="O8" s="5" t="inlineStr">
        <is>
          <t>868 / 194</t>
        </is>
      </c>
      <c r="P8" s="29" t="n">
        <v>0.9414188301757794</v>
      </c>
      <c r="Q8" s="30" t="n">
        <v>361.85</v>
      </c>
      <c r="R8" s="22" t="inlineStr">
        <is>
          <t>UYGUN</t>
        </is>
      </c>
    </row>
    <row r="9">
      <c r="A9" s="22" t="inlineStr">
        <is>
          <t>D5</t>
        </is>
      </c>
      <c r="B9" s="7" t="inlineStr">
        <is>
          <t>Köşe durdurucu</t>
        </is>
      </c>
      <c r="C9" s="22" t="inlineStr">
        <is>
          <t>K5''</t>
        </is>
      </c>
      <c r="D9" s="5" t="n">
        <v>40</v>
      </c>
      <c r="E9" s="23">
        <f>2*COS(RADIANS(D9/2))</f>
        <v/>
      </c>
      <c r="F9" s="5" t="n">
        <v>50</v>
      </c>
      <c r="G9" s="5" t="n">
        <v>45</v>
      </c>
      <c r="H9" s="24" t="n">
        <v>47.5</v>
      </c>
      <c r="I9" s="24" t="n">
        <v>496.5</v>
      </c>
      <c r="J9" s="24" t="n">
        <v>650</v>
      </c>
      <c r="K9" s="25" t="n">
        <v>8.050000000000001</v>
      </c>
      <c r="L9" s="26">
        <f>K9/9.55</f>
        <v/>
      </c>
      <c r="M9" s="27" t="n">
        <v>3829.1</v>
      </c>
      <c r="N9" s="7" t="inlineStr">
        <is>
          <t>V5 (en büyük çekmelerin bileşkesi)</t>
        </is>
      </c>
      <c r="O9" s="28" t="n">
        <v>4432</v>
      </c>
      <c r="P9" s="29" t="n">
        <v>0.8639599085882349</v>
      </c>
      <c r="Q9" s="30" t="n">
        <v>959.77</v>
      </c>
      <c r="R9" s="22" t="inlineStr">
        <is>
          <t>UYGUN</t>
        </is>
      </c>
    </row>
    <row r="10">
      <c r="A10" s="22" t="inlineStr">
        <is>
          <t>D6</t>
        </is>
      </c>
      <c r="B10" s="7" t="inlineStr">
        <is>
          <t>Nihayet</t>
        </is>
      </c>
      <c r="C10" s="22" t="inlineStr">
        <is>
          <t>K4''</t>
        </is>
      </c>
      <c r="D10" s="5" t="inlineStr">
        <is>
          <t>-</t>
        </is>
      </c>
      <c r="E10" s="26" t="n">
        <v>1</v>
      </c>
      <c r="F10" s="5" t="n">
        <v>45</v>
      </c>
      <c r="G10" s="5" t="inlineStr">
        <is>
          <t>-</t>
        </is>
      </c>
      <c r="H10" s="24" t="n">
        <v>22.5</v>
      </c>
      <c r="I10" s="24" t="n">
        <v>496.5</v>
      </c>
      <c r="J10" s="24" t="n">
        <v>650</v>
      </c>
      <c r="K10" s="25" t="n">
        <v>8.050000000000001</v>
      </c>
      <c r="L10" s="26">
        <f>K10/9.55</f>
        <v/>
      </c>
      <c r="M10" s="27" t="n">
        <v>2037.4</v>
      </c>
      <c r="N10" s="7" t="inlineStr">
        <is>
          <t>V1 (tek yanlı en büyük çekme)</t>
        </is>
      </c>
      <c r="O10" s="28" t="n">
        <v>2783</v>
      </c>
      <c r="P10" s="29" t="n">
        <v>0.7320897445786215</v>
      </c>
      <c r="Q10" s="30" t="n">
        <v>783.54</v>
      </c>
      <c r="R10" s="22" t="inlineStr">
        <is>
          <t>UYGUN</t>
        </is>
      </c>
    </row>
    <row r="11">
      <c r="P11" s="22" t="inlineStr">
        <is>
          <t>Toplam</t>
        </is>
      </c>
      <c r="Q11" s="31">
        <f>SUM(Q5:Q10)</f>
        <v/>
      </c>
    </row>
    <row r="13">
      <c r="A13" s="21" t="inlineStr">
        <is>
          <t>Taşıyıcılarda: hatta dik rüzgâr (güçlü eksen, rüzgârlı katalog değeri) / iletken kopması (zayıf eksen; OG mesnet izolatörlü T/5, AG demet T/3).</t>
        </is>
      </c>
    </row>
    <row r="15">
      <c r="A15" s="32" t="inlineStr">
        <is>
          <t>YÜKLENME VARSAYIMLARI AYRINTISI</t>
        </is>
      </c>
    </row>
    <row r="16">
      <c r="A16" s="3" t="inlineStr">
        <is>
          <t>Direk</t>
        </is>
      </c>
      <c r="B16" s="3" t="inlineStr">
        <is>
          <t>Tip</t>
        </is>
      </c>
      <c r="C16" s="3" t="inlineStr">
        <is>
          <t>Varsayım</t>
        </is>
      </c>
      <c r="D16" s="3" t="inlineStr">
        <is>
          <t>Açıklama / bileşenler</t>
        </is>
      </c>
      <c r="E16" s="3" t="inlineStr">
        <is>
          <t>Eksen</t>
        </is>
      </c>
      <c r="F16" s="3" t="inlineStr">
        <is>
          <t>Kapasite türü</t>
        </is>
      </c>
      <c r="G16" s="3" t="inlineStr">
        <is>
          <t>F hesap (kg)</t>
        </is>
      </c>
      <c r="H16" s="3" t="inlineStr">
        <is>
          <t>Direk rüzgârı (tepe, kg)</t>
        </is>
      </c>
      <c r="I16" s="3" t="inlineStr">
        <is>
          <t>Travers/izolatör rüzgârı (kg)</t>
        </is>
      </c>
      <c r="J16" s="3" t="inlineStr">
        <is>
          <t>Kapasite (kg)</t>
        </is>
      </c>
      <c r="K16" s="3" t="inlineStr">
        <is>
          <t>Kullanım</t>
        </is>
      </c>
      <c r="L16" s="3" t="inlineStr">
        <is>
          <t>Sonuç</t>
        </is>
      </c>
    </row>
    <row r="17">
      <c r="A17" s="5" t="inlineStr">
        <is>
          <t>D1</t>
        </is>
      </c>
      <c r="B17" s="5" t="inlineStr">
        <is>
          <t>K5''</t>
        </is>
      </c>
      <c r="C17" s="7" t="inlineStr">
        <is>
          <t>V1 (bir yan %100, diğer yan zayıflamalı)</t>
        </is>
      </c>
      <c r="D17" s="7" t="inlineStr">
        <is>
          <t>Çz.12: 4 iletken → %60 zayıflama</t>
        </is>
      </c>
      <c r="E17" s="5" t="inlineStr">
        <is>
          <t>her yön</t>
        </is>
      </c>
      <c r="F17" s="5" t="inlineStr">
        <is>
          <t>rüzgârsız</t>
        </is>
      </c>
      <c r="G17" s="33" t="n">
        <v>2244.1</v>
      </c>
      <c r="H17" s="24" t="n"/>
      <c r="I17" s="24" t="n"/>
      <c r="J17" s="28" t="n">
        <v>4432</v>
      </c>
      <c r="K17" s="29">
        <f>G17/J17</f>
        <v/>
      </c>
      <c r="L17" s="34">
        <f>IF(K17&lt;=1,"UYGUN","UYGUN DEĞİL")</f>
        <v/>
      </c>
    </row>
    <row r="18">
      <c r="A18" s="5" t="inlineStr">
        <is>
          <t>D1</t>
        </is>
      </c>
      <c r="B18" s="5" t="inlineStr">
        <is>
          <t>K5''</t>
        </is>
      </c>
      <c r="C18" s="7" t="inlineStr">
        <is>
          <t>V2 (bir iletken kopması, %75)</t>
        </is>
      </c>
      <c r="D18" s="7" t="inlineStr">
        <is>
          <t>kopan iletken tarafında 0, diğer yanda %75 T</t>
        </is>
      </c>
      <c r="E18" s="5" t="inlineStr">
        <is>
          <t>her yön</t>
        </is>
      </c>
      <c r="F18" s="5" t="inlineStr">
        <is>
          <t>rüzgârsız</t>
        </is>
      </c>
      <c r="G18" s="33" t="n">
        <v>2440.3</v>
      </c>
      <c r="H18" s="24" t="n"/>
      <c r="I18" s="24" t="n"/>
      <c r="J18" s="28" t="n">
        <v>4432</v>
      </c>
      <c r="K18" s="29">
        <f>G18/J18</f>
        <v/>
      </c>
      <c r="L18" s="34">
        <f>IF(K18&lt;=1,"UYGUN","UYGUN DEĞİL")</f>
        <v/>
      </c>
    </row>
    <row r="19">
      <c r="A19" s="5" t="inlineStr">
        <is>
          <t>D1</t>
        </is>
      </c>
      <c r="B19" s="5" t="inlineStr">
        <is>
          <t>K5''</t>
        </is>
      </c>
      <c r="C19" s="7" t="inlineStr">
        <is>
          <t>V4 (+5 °C rüzgârlı)</t>
        </is>
      </c>
      <c r="D19" s="7" t="inlineStr">
        <is>
          <t>+5 °C rüzgârlı çekmelerin bileşkesi + bileşke yönünde rüzgâr</t>
        </is>
      </c>
      <c r="E19" s="5" t="inlineStr">
        <is>
          <t>her yön</t>
        </is>
      </c>
      <c r="F19" s="5" t="inlineStr">
        <is>
          <t>rüzgârsız</t>
        </is>
      </c>
      <c r="G19" s="33" t="n">
        <v>1923.9</v>
      </c>
      <c r="H19" s="24" t="n">
        <v>114.5</v>
      </c>
      <c r="I19" s="24" t="n">
        <v>62</v>
      </c>
      <c r="J19" s="28" t="n">
        <v>4432</v>
      </c>
      <c r="K19" s="29">
        <f>G19/J19</f>
        <v/>
      </c>
      <c r="L19" s="34">
        <f>IF(K19&lt;=1,"UYGUN","UYGUN DEĞİL")</f>
        <v/>
      </c>
    </row>
    <row r="20">
      <c r="A20" s="5" t="inlineStr">
        <is>
          <t>D1</t>
        </is>
      </c>
      <c r="B20" s="5" t="inlineStr">
        <is>
          <t>K5''</t>
        </is>
      </c>
      <c r="C20" s="7" t="inlineStr">
        <is>
          <t>V5 (en büyük çekmelerin bileşkesi)</t>
        </is>
      </c>
      <c r="D20" s="7" t="inlineStr">
        <is>
          <t>tüm iletkenler T_max, vektörel toplam</t>
        </is>
      </c>
      <c r="E20" s="5" t="inlineStr">
        <is>
          <t>her yön</t>
        </is>
      </c>
      <c r="F20" s="5" t="inlineStr">
        <is>
          <t>rüzgârsız</t>
        </is>
      </c>
      <c r="G20" s="33" t="n">
        <v>2846.7</v>
      </c>
      <c r="H20" s="24" t="n"/>
      <c r="I20" s="24" t="n"/>
      <c r="J20" s="28" t="n">
        <v>4432</v>
      </c>
      <c r="K20" s="29">
        <f>G20/J20</f>
        <v/>
      </c>
      <c r="L20" s="34">
        <f>IF(K20&lt;=1,"UYGUN","UYGUN DEĞİL")</f>
        <v/>
      </c>
    </row>
    <row r="21">
      <c r="A21" s="5" t="inlineStr">
        <is>
          <t>D2</t>
        </is>
      </c>
      <c r="B21" s="5" t="inlineStr">
        <is>
          <t>K5''</t>
        </is>
      </c>
      <c r="C21" s="7" t="inlineStr">
        <is>
          <t>V1 (bir yan %100, diğer yan zayıflamalı)</t>
        </is>
      </c>
      <c r="D21" s="7" t="inlineStr">
        <is>
          <t>Çz.12: 4 iletken → %60 zayıflama</t>
        </is>
      </c>
      <c r="E21" s="5" t="inlineStr">
        <is>
          <t>her yön</t>
        </is>
      </c>
      <c r="F21" s="5" t="inlineStr">
        <is>
          <t>rüzgârsız</t>
        </is>
      </c>
      <c r="G21" s="33" t="n">
        <v>2322</v>
      </c>
      <c r="H21" s="24" t="n"/>
      <c r="I21" s="24" t="n"/>
      <c r="J21" s="28" t="n">
        <v>4432</v>
      </c>
      <c r="K21" s="29">
        <f>G21/J21</f>
        <v/>
      </c>
      <c r="L21" s="34">
        <f>IF(K21&lt;=1,"UYGUN","UYGUN DEĞİL")</f>
        <v/>
      </c>
    </row>
    <row r="22">
      <c r="A22" s="5" t="inlineStr">
        <is>
          <t>D2</t>
        </is>
      </c>
      <c r="B22" s="5" t="inlineStr">
        <is>
          <t>K5''</t>
        </is>
      </c>
      <c r="C22" s="7" t="inlineStr">
        <is>
          <t>V2 (bir iletken kopması, %75)</t>
        </is>
      </c>
      <c r="D22" s="7" t="inlineStr">
        <is>
          <t>kopan iletken tarafında 0, diğer yanda %75 T</t>
        </is>
      </c>
      <c r="E22" s="5" t="inlineStr">
        <is>
          <t>her yön</t>
        </is>
      </c>
      <c r="F22" s="5" t="inlineStr">
        <is>
          <t>rüzgârsız</t>
        </is>
      </c>
      <c r="G22" s="33" t="n">
        <v>2656.9</v>
      </c>
      <c r="H22" s="24" t="n"/>
      <c r="I22" s="24" t="n"/>
      <c r="J22" s="28" t="n">
        <v>4432</v>
      </c>
      <c r="K22" s="29">
        <f>G22/J22</f>
        <v/>
      </c>
      <c r="L22" s="34">
        <f>IF(K22&lt;=1,"UYGUN","UYGUN DEĞİL")</f>
        <v/>
      </c>
    </row>
    <row r="23">
      <c r="A23" s="5" t="inlineStr">
        <is>
          <t>D2</t>
        </is>
      </c>
      <c r="B23" s="5" t="inlineStr">
        <is>
          <t>K5''</t>
        </is>
      </c>
      <c r="C23" s="7" t="inlineStr">
        <is>
          <t>V4 (+5 °C rüzgârlı)</t>
        </is>
      </c>
      <c r="D23" s="7" t="inlineStr">
        <is>
          <t>+5 °C rüzgârlı çekmelerin bileşkesi + bileşke yönünde rüzgâr</t>
        </is>
      </c>
      <c r="E23" s="5" t="inlineStr">
        <is>
          <t>her yön</t>
        </is>
      </c>
      <c r="F23" s="5" t="inlineStr">
        <is>
          <t>rüzgârsız</t>
        </is>
      </c>
      <c r="G23" s="33" t="n">
        <v>2182.5</v>
      </c>
      <c r="H23" s="24" t="n">
        <v>114.5</v>
      </c>
      <c r="I23" s="24" t="n">
        <v>62</v>
      </c>
      <c r="J23" s="28" t="n">
        <v>4432</v>
      </c>
      <c r="K23" s="29">
        <f>G23/J23</f>
        <v/>
      </c>
      <c r="L23" s="34">
        <f>IF(K23&lt;=1,"UYGUN","UYGUN DEĞİL")</f>
        <v/>
      </c>
    </row>
    <row r="24">
      <c r="A24" s="5" t="inlineStr">
        <is>
          <t>D2</t>
        </is>
      </c>
      <c r="B24" s="5" t="inlineStr">
        <is>
          <t>K5''</t>
        </is>
      </c>
      <c r="C24" s="7" t="inlineStr">
        <is>
          <t>V5 (en büyük çekmelerin bileşkesi)</t>
        </is>
      </c>
      <c r="D24" s="7" t="inlineStr">
        <is>
          <t>tüm iletkenler T_max, vektörel toplam</t>
        </is>
      </c>
      <c r="E24" s="5" t="inlineStr">
        <is>
          <t>her yön</t>
        </is>
      </c>
      <c r="F24" s="5" t="inlineStr">
        <is>
          <t>rüzgârsız</t>
        </is>
      </c>
      <c r="G24" s="33" t="n">
        <v>3121.5</v>
      </c>
      <c r="H24" s="24" t="n"/>
      <c r="I24" s="24" t="n"/>
      <c r="J24" s="28" t="n">
        <v>4432</v>
      </c>
      <c r="K24" s="29">
        <f>G24/J24</f>
        <v/>
      </c>
      <c r="L24" s="34">
        <f>IF(K24&lt;=1,"UYGUN","UYGUN DEĞİL")</f>
        <v/>
      </c>
    </row>
    <row r="25">
      <c r="A25" s="5" t="inlineStr">
        <is>
          <t>D3</t>
        </is>
      </c>
      <c r="B25" s="5" t="inlineStr">
        <is>
          <t>12U''</t>
        </is>
      </c>
      <c r="C25" s="7" t="inlineStr">
        <is>
          <t>V1 (hatta dik rüzgâr)</t>
        </is>
      </c>
      <c r="D25" s="7" t="inlineStr">
        <is>
          <t>OG 3×0.6171×50.0 + AG 1.9360×50.0×0.843 + travers/izolatör</t>
        </is>
      </c>
      <c r="E25" s="5" t="inlineStr">
        <is>
          <t>güçlü</t>
        </is>
      </c>
      <c r="F25" s="5" t="inlineStr">
        <is>
          <t>rüzgârlı</t>
        </is>
      </c>
      <c r="G25" s="33" t="n">
        <v>199.7</v>
      </c>
      <c r="H25" s="24" t="n"/>
      <c r="I25" s="24" t="n"/>
      <c r="J25" s="28" t="n">
        <v>868</v>
      </c>
      <c r="K25" s="29">
        <f>G25/J25</f>
        <v/>
      </c>
      <c r="L25" s="34">
        <f>IF(K25&lt;=1,"UYGUN","UYGUN DEĞİL")</f>
        <v/>
      </c>
    </row>
    <row r="26">
      <c r="A26" s="5" t="inlineStr">
        <is>
          <t>D3</t>
        </is>
      </c>
      <c r="B26" s="5" t="inlineStr">
        <is>
          <t>12U''</t>
        </is>
      </c>
      <c r="C26" s="7" t="inlineStr">
        <is>
          <t>V2 (%2 tek yanlı çekme)</t>
        </is>
      </c>
      <c r="D26" s="7" t="inlineStr">
        <is>
          <t>0,02 × (3·T_OG + T_AG·h_AG/H)</t>
        </is>
      </c>
      <c r="E26" s="5" t="inlineStr">
        <is>
          <t>zayıf</t>
        </is>
      </c>
      <c r="F26" s="5" t="inlineStr">
        <is>
          <t>rüzgârlı</t>
        </is>
      </c>
      <c r="G26" s="33" t="n">
        <v>40.7</v>
      </c>
      <c r="H26" s="24" t="n"/>
      <c r="I26" s="24" t="n"/>
      <c r="J26" s="28" t="n">
        <v>99</v>
      </c>
      <c r="K26" s="29">
        <f>G26/J26</f>
        <v/>
      </c>
      <c r="L26" s="34">
        <f>IF(K26&lt;=1,"UYGUN","UYGUN DEĞİL")</f>
        <v/>
      </c>
    </row>
    <row r="27">
      <c r="A27" s="5" t="inlineStr">
        <is>
          <t>D3</t>
        </is>
      </c>
      <c r="B27" s="5" t="inlineStr">
        <is>
          <t>12U''</t>
        </is>
      </c>
      <c r="C27" s="7" t="inlineStr">
        <is>
          <t>V3 (iletken kopması)</t>
        </is>
      </c>
      <c r="D27" s="7" t="inlineStr">
        <is>
          <t>max(T_OG/5=99.3 ; T_AG/3·h_AG/H=182.6)</t>
        </is>
      </c>
      <c r="E27" s="5" t="inlineStr">
        <is>
          <t>zayıf</t>
        </is>
      </c>
      <c r="F27" s="5" t="inlineStr">
        <is>
          <t>rüzgârsız</t>
        </is>
      </c>
      <c r="G27" s="33" t="n">
        <v>182.6</v>
      </c>
      <c r="H27" s="24" t="n"/>
      <c r="I27" s="24" t="n"/>
      <c r="J27" s="28" t="n">
        <v>194</v>
      </c>
      <c r="K27" s="29">
        <f>G27/J27</f>
        <v/>
      </c>
      <c r="L27" s="34">
        <f>IF(K27&lt;=1,"UYGUN","UYGUN DEĞİL")</f>
        <v/>
      </c>
    </row>
    <row r="28">
      <c r="A28" s="5" t="inlineStr">
        <is>
          <t>D4</t>
        </is>
      </c>
      <c r="B28" s="5" t="inlineStr">
        <is>
          <t>12U''</t>
        </is>
      </c>
      <c r="C28" s="7" t="inlineStr">
        <is>
          <t>V1 (hatta dik rüzgâr)</t>
        </is>
      </c>
      <c r="D28" s="7" t="inlineStr">
        <is>
          <t>OG 3×0.6171×50.0 + AG 1.9360×50.0×0.843 + travers/izolatör</t>
        </is>
      </c>
      <c r="E28" s="5" t="inlineStr">
        <is>
          <t>güçlü</t>
        </is>
      </c>
      <c r="F28" s="5" t="inlineStr">
        <is>
          <t>rüzgârlı</t>
        </is>
      </c>
      <c r="G28" s="33" t="n">
        <v>199.7</v>
      </c>
      <c r="H28" s="24" t="n"/>
      <c r="I28" s="24" t="n"/>
      <c r="J28" s="28" t="n">
        <v>868</v>
      </c>
      <c r="K28" s="29">
        <f>G28/J28</f>
        <v/>
      </c>
      <c r="L28" s="34">
        <f>IF(K28&lt;=1,"UYGUN","UYGUN DEĞİL")</f>
        <v/>
      </c>
    </row>
    <row r="29">
      <c r="A29" s="5" t="inlineStr">
        <is>
          <t>D4</t>
        </is>
      </c>
      <c r="B29" s="5" t="inlineStr">
        <is>
          <t>12U''</t>
        </is>
      </c>
      <c r="C29" s="7" t="inlineStr">
        <is>
          <t>V2 (%2 tek yanlı çekme)</t>
        </is>
      </c>
      <c r="D29" s="7" t="inlineStr">
        <is>
          <t>0,02 × (3·T_OG + T_AG·h_AG/H)</t>
        </is>
      </c>
      <c r="E29" s="5" t="inlineStr">
        <is>
          <t>zayıf</t>
        </is>
      </c>
      <c r="F29" s="5" t="inlineStr">
        <is>
          <t>rüzgârlı</t>
        </is>
      </c>
      <c r="G29" s="33" t="n">
        <v>40.7</v>
      </c>
      <c r="H29" s="24" t="n"/>
      <c r="I29" s="24" t="n"/>
      <c r="J29" s="28" t="n">
        <v>99</v>
      </c>
      <c r="K29" s="29">
        <f>G29/J29</f>
        <v/>
      </c>
      <c r="L29" s="34">
        <f>IF(K29&lt;=1,"UYGUN","UYGUN DEĞİL")</f>
        <v/>
      </c>
    </row>
    <row r="30">
      <c r="A30" s="5" t="inlineStr">
        <is>
          <t>D4</t>
        </is>
      </c>
      <c r="B30" s="5" t="inlineStr">
        <is>
          <t>12U''</t>
        </is>
      </c>
      <c r="C30" s="7" t="inlineStr">
        <is>
          <t>V3 (iletken kopması)</t>
        </is>
      </c>
      <c r="D30" s="7" t="inlineStr">
        <is>
          <t>max(T_OG/5=99.3 ; T_AG/3·h_AG/H=182.6)</t>
        </is>
      </c>
      <c r="E30" s="5" t="inlineStr">
        <is>
          <t>zayıf</t>
        </is>
      </c>
      <c r="F30" s="5" t="inlineStr">
        <is>
          <t>rüzgârsız</t>
        </is>
      </c>
      <c r="G30" s="33" t="n">
        <v>182.6</v>
      </c>
      <c r="H30" s="24" t="n"/>
      <c r="I30" s="24" t="n"/>
      <c r="J30" s="28" t="n">
        <v>194</v>
      </c>
      <c r="K30" s="29">
        <f>G30/J30</f>
        <v/>
      </c>
      <c r="L30" s="34">
        <f>IF(K30&lt;=1,"UYGUN","UYGUN DEĞİL")</f>
        <v/>
      </c>
    </row>
    <row r="31">
      <c r="A31" s="5" t="inlineStr">
        <is>
          <t>D5</t>
        </is>
      </c>
      <c r="B31" s="5" t="inlineStr">
        <is>
          <t>K5''</t>
        </is>
      </c>
      <c r="C31" s="7" t="inlineStr">
        <is>
          <t>V1 (bir yan %100, diğer yan zayıflamalı)</t>
        </is>
      </c>
      <c r="D31" s="7" t="inlineStr">
        <is>
          <t>Çz.12: 4 iletken → %60 zayıflama</t>
        </is>
      </c>
      <c r="E31" s="5" t="inlineStr">
        <is>
          <t>her yön</t>
        </is>
      </c>
      <c r="F31" s="5" t="inlineStr">
        <is>
          <t>rüzgârsız</t>
        </is>
      </c>
      <c r="G31" s="33" t="n">
        <v>2712.8</v>
      </c>
      <c r="H31" s="24" t="n"/>
      <c r="I31" s="24" t="n"/>
      <c r="J31" s="28" t="n">
        <v>4432</v>
      </c>
      <c r="K31" s="29">
        <f>G31/J31</f>
        <v/>
      </c>
      <c r="L31" s="34">
        <f>IF(K31&lt;=1,"UYGUN","UYGUN DEĞİL")</f>
        <v/>
      </c>
    </row>
    <row r="32">
      <c r="A32" s="5" t="inlineStr">
        <is>
          <t>D5</t>
        </is>
      </c>
      <c r="B32" s="5" t="inlineStr">
        <is>
          <t>K5''</t>
        </is>
      </c>
      <c r="C32" s="7" t="inlineStr">
        <is>
          <t>V2 (bir iletken kopması, %75)</t>
        </is>
      </c>
      <c r="D32" s="7" t="inlineStr">
        <is>
          <t>kopan iletken tarafında 0, diğer yanda %75 T</t>
        </is>
      </c>
      <c r="E32" s="5" t="inlineStr">
        <is>
          <t>her yön</t>
        </is>
      </c>
      <c r="F32" s="5" t="inlineStr">
        <is>
          <t>rüzgârsız</t>
        </is>
      </c>
      <c r="G32" s="33" t="n">
        <v>3248.4</v>
      </c>
      <c r="H32" s="24" t="n"/>
      <c r="I32" s="24" t="n"/>
      <c r="J32" s="28" t="n">
        <v>4432</v>
      </c>
      <c r="K32" s="29">
        <f>G32/J32</f>
        <v/>
      </c>
      <c r="L32" s="34">
        <f>IF(K32&lt;=1,"UYGUN","UYGUN DEĞİL")</f>
        <v/>
      </c>
    </row>
    <row r="33">
      <c r="A33" s="5" t="inlineStr">
        <is>
          <t>D5</t>
        </is>
      </c>
      <c r="B33" s="5" t="inlineStr">
        <is>
          <t>K5''</t>
        </is>
      </c>
      <c r="C33" s="7" t="inlineStr">
        <is>
          <t>V4 (+5 °C rüzgârlı)</t>
        </is>
      </c>
      <c r="D33" s="7" t="inlineStr">
        <is>
          <t>+5 °C rüzgârlı çekmelerin bileşkesi + bileşke yönünde rüzgâr</t>
        </is>
      </c>
      <c r="E33" s="5" t="inlineStr">
        <is>
          <t>her yön</t>
        </is>
      </c>
      <c r="F33" s="5" t="inlineStr">
        <is>
          <t>rüzgârsız</t>
        </is>
      </c>
      <c r="G33" s="33" t="n">
        <v>2599.6</v>
      </c>
      <c r="H33" s="24" t="n">
        <v>114.5</v>
      </c>
      <c r="I33" s="24" t="n">
        <v>62</v>
      </c>
      <c r="J33" s="28" t="n">
        <v>4432</v>
      </c>
      <c r="K33" s="29">
        <f>G33/J33</f>
        <v/>
      </c>
      <c r="L33" s="34">
        <f>IF(K33&lt;=1,"UYGUN","UYGUN DEĞİL")</f>
        <v/>
      </c>
    </row>
    <row r="34">
      <c r="A34" s="5" t="inlineStr">
        <is>
          <t>D5</t>
        </is>
      </c>
      <c r="B34" s="5" t="inlineStr">
        <is>
          <t>K5''</t>
        </is>
      </c>
      <c r="C34" s="7" t="inlineStr">
        <is>
          <t>V5 (en büyük çekmelerin bileşkesi)</t>
        </is>
      </c>
      <c r="D34" s="7" t="inlineStr">
        <is>
          <t>tüm iletkenler T_max, vektörel toplam</t>
        </is>
      </c>
      <c r="E34" s="5" t="inlineStr">
        <is>
          <t>her yön</t>
        </is>
      </c>
      <c r="F34" s="5" t="inlineStr">
        <is>
          <t>rüzgârsız</t>
        </is>
      </c>
      <c r="G34" s="33" t="n">
        <v>3829.1</v>
      </c>
      <c r="H34" s="24" t="n"/>
      <c r="I34" s="24" t="n"/>
      <c r="J34" s="28" t="n">
        <v>4432</v>
      </c>
      <c r="K34" s="29">
        <f>G34/J34</f>
        <v/>
      </c>
      <c r="L34" s="34">
        <f>IF(K34&lt;=1,"UYGUN","UYGUN DEĞİL")</f>
        <v/>
      </c>
    </row>
    <row r="35">
      <c r="A35" s="5" t="inlineStr">
        <is>
          <t>D6</t>
        </is>
      </c>
      <c r="B35" s="5" t="inlineStr">
        <is>
          <t>K4''</t>
        </is>
      </c>
      <c r="C35" s="7" t="inlineStr">
        <is>
          <t>V1 (tek yanlı en büyük çekme)</t>
        </is>
      </c>
      <c r="D35" s="7" t="inlineStr">
        <is>
          <t>3·T_OG + T_AG·h_AG/H</t>
        </is>
      </c>
      <c r="E35" s="5" t="inlineStr">
        <is>
          <t>her yön</t>
        </is>
      </c>
      <c r="F35" s="5" t="inlineStr">
        <is>
          <t>rüzgârsız</t>
        </is>
      </c>
      <c r="G35" s="33" t="n">
        <v>2037.4</v>
      </c>
      <c r="H35" s="24" t="n"/>
      <c r="I35" s="24" t="n"/>
      <c r="J35" s="28" t="n">
        <v>2783</v>
      </c>
      <c r="K35" s="29">
        <f>G35/J35</f>
        <v/>
      </c>
      <c r="L35" s="34">
        <f>IF(K35&lt;=1,"UYGUN","UYGUN DEĞİL")</f>
        <v/>
      </c>
    </row>
    <row r="36">
      <c r="A36" s="5" t="inlineStr">
        <is>
          <t>D6</t>
        </is>
      </c>
      <c r="B36" s="5" t="inlineStr">
        <is>
          <t>K4''</t>
        </is>
      </c>
      <c r="C36" s="7" t="inlineStr">
        <is>
          <t>V2 (bir iletken kopması, %100)</t>
        </is>
      </c>
      <c r="D36" s="7" t="inlineStr">
        <is>
          <t>kopan iletken çıkarılır (V1'den küçük)</t>
        </is>
      </c>
      <c r="E36" s="5" t="inlineStr">
        <is>
          <t>her yön</t>
        </is>
      </c>
      <c r="F36" s="5" t="inlineStr">
        <is>
          <t>rüzgârsız</t>
        </is>
      </c>
      <c r="G36" s="33" t="n">
        <v>1540.9</v>
      </c>
      <c r="H36" s="24" t="n"/>
      <c r="I36" s="24" t="n"/>
      <c r="J36" s="28" t="n">
        <v>2783</v>
      </c>
      <c r="K36" s="29">
        <f>G36/J36</f>
        <v/>
      </c>
      <c r="L36" s="34">
        <f>IF(K36&lt;=1,"UYGUN","UYGUN DEĞİL")</f>
        <v/>
      </c>
    </row>
    <row r="37">
      <c r="A37" s="5" t="inlineStr">
        <is>
          <t>D6</t>
        </is>
      </c>
      <c r="B37" s="5" t="inlineStr">
        <is>
          <t>K4''</t>
        </is>
      </c>
      <c r="C37" s="7" t="inlineStr">
        <is>
          <t>V4 (hatta dik rüzgâr + rüzgârlı çekme)</t>
        </is>
      </c>
      <c r="D37" s="7" t="inlineStr">
        <is>
          <t>√(Tr² + W²) + direk rüzgârı</t>
        </is>
      </c>
      <c r="E37" s="5" t="inlineStr">
        <is>
          <t>her yön</t>
        </is>
      </c>
      <c r="F37" s="5" t="inlineStr">
        <is>
          <t>rüzgârsız</t>
        </is>
      </c>
      <c r="G37" s="33" t="n">
        <v>1306.4</v>
      </c>
      <c r="H37" s="24" t="n">
        <v>92.90000000000001</v>
      </c>
      <c r="I37" s="24" t="n">
        <v>40.9</v>
      </c>
      <c r="J37" s="28" t="n">
        <v>2783</v>
      </c>
      <c r="K37" s="29">
        <f>G37/J37</f>
        <v/>
      </c>
      <c r="L37" s="34">
        <f>IF(K37&lt;=1,"UYGUN","UYGUN DEĞİL")</f>
        <v/>
      </c>
    </row>
  </sheetData>
  <mergeCells count="2">
    <mergeCell ref="A2:R2"/>
    <mergeCell ref="A1:R1"/>
  </mergeCells>
  <pageMargins left="0.4" right="0.4" top="0.5" bottom="0.5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11" customWidth="1" min="10" max="10"/>
    <col width="10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İLETKEN GERİLME - SEHİM CETVELİ (durum değişim denklemi)</t>
        </is>
      </c>
    </row>
    <row r="2">
      <c r="A2" s="2" t="inlineStr">
        <is>
          <t>σ2²·(σ2 - [σ1 - E·a²·γ1²/(24·σ1²) - α·E·(t2 - t1)]) = E·a²·γ2²/24 ; γ = w/S. Germe bölümlerinde eşdeğer açıklık a_e = √(Σa³/Σa). En büyük çekme belirleyici durumda Tmax'a eşitlenmiştir.</t>
        </is>
      </c>
    </row>
    <row r="4" ht="32" customHeight="1">
      <c r="A4" s="3" t="inlineStr">
        <is>
          <t>Devre</t>
        </is>
      </c>
      <c r="B4" s="3" t="inlineStr">
        <is>
          <t>Germe bölümü</t>
        </is>
      </c>
      <c r="C4" s="3" t="inlineStr">
        <is>
          <t>Eşdeğer açıklık (m)</t>
        </is>
      </c>
      <c r="D4" s="3" t="inlineStr">
        <is>
          <t>Belirleyici durum</t>
        </is>
      </c>
      <c r="E4" s="3" t="inlineStr">
        <is>
          <t>T -25°C (kg)</t>
        </is>
      </c>
      <c r="F4" s="3" t="inlineStr">
        <is>
          <t>T -5°C+buz (kg)</t>
        </is>
      </c>
      <c r="G4" s="3" t="inlineStr">
        <is>
          <t>T +5°C+rüzgâr (kg)</t>
        </is>
      </c>
      <c r="H4" s="3" t="inlineStr">
        <is>
          <t>T +15°C EDS (kg)</t>
        </is>
      </c>
      <c r="I4" s="3" t="inlineStr">
        <is>
          <t>EDS / kopma</t>
        </is>
      </c>
      <c r="J4" s="3" t="inlineStr">
        <is>
          <t>T +40°C (kg)</t>
        </is>
      </c>
      <c r="K4" s="3" t="inlineStr">
        <is>
          <t>Açıklık</t>
        </is>
      </c>
      <c r="L4" s="3" t="inlineStr">
        <is>
          <t>a (m)</t>
        </is>
      </c>
      <c r="M4" s="3" t="inlineStr">
        <is>
          <t>Sehim -5°C+buz (m)</t>
        </is>
      </c>
      <c r="N4" s="3" t="inlineStr">
        <is>
          <t>Sehim +40°C (m)</t>
        </is>
      </c>
      <c r="O4" s="3" t="inlineStr">
        <is>
          <t>Sehim -25°C (m)</t>
        </is>
      </c>
      <c r="P4" s="3" t="inlineStr">
        <is>
          <t>Sehim +15°C (m)</t>
        </is>
      </c>
    </row>
    <row r="5">
      <c r="A5" s="22" t="inlineStr">
        <is>
          <t>OG</t>
        </is>
      </c>
      <c r="B5" s="5" t="inlineStr">
        <is>
          <t>M-D1</t>
        </is>
      </c>
      <c r="C5" s="24" t="n">
        <v>35</v>
      </c>
      <c r="D5" s="5" t="inlineStr">
        <is>
          <t>-5°C + buz</t>
        </is>
      </c>
      <c r="E5" s="33" t="n">
        <v>490.5</v>
      </c>
      <c r="F5" s="33" t="n">
        <v>496.5</v>
      </c>
      <c r="G5" s="33" t="n">
        <v>277.7</v>
      </c>
      <c r="H5" s="33" t="n">
        <v>133.3</v>
      </c>
      <c r="I5" s="35" t="n">
        <v>0.04452266075819318</v>
      </c>
      <c r="J5" s="33" t="n">
        <v>89.09999999999999</v>
      </c>
      <c r="K5" s="5" t="inlineStr">
        <is>
          <t>M-D1</t>
        </is>
      </c>
      <c r="L5" s="24" t="n">
        <v>35</v>
      </c>
      <c r="M5" s="25" t="n">
        <v>0.436</v>
      </c>
      <c r="N5" s="25" t="n">
        <v>0.591</v>
      </c>
      <c r="O5" s="25" t="n">
        <v>0.107</v>
      </c>
      <c r="P5" s="25" t="n">
        <v>0.395</v>
      </c>
    </row>
    <row r="6">
      <c r="A6" s="22" t="inlineStr">
        <is>
          <t>OG</t>
        </is>
      </c>
      <c r="B6" s="5" t="inlineStr">
        <is>
          <t>D1-D2</t>
        </is>
      </c>
      <c r="C6" s="24" t="n">
        <v>45</v>
      </c>
      <c r="D6" s="5" t="inlineStr">
        <is>
          <t>-5°C + buz</t>
        </is>
      </c>
      <c r="E6" s="33" t="n">
        <v>328.8</v>
      </c>
      <c r="F6" s="33" t="n">
        <v>496.5</v>
      </c>
      <c r="G6" s="33" t="n">
        <v>267.6</v>
      </c>
      <c r="H6" s="33" t="n">
        <v>128.5</v>
      </c>
      <c r="I6" s="35" t="n">
        <v>0.04290944843892561</v>
      </c>
      <c r="J6" s="33" t="n">
        <v>97.8</v>
      </c>
      <c r="K6" s="5" t="inlineStr">
        <is>
          <t>D1-D2</t>
        </is>
      </c>
      <c r="L6" s="24" t="n">
        <v>45</v>
      </c>
      <c r="M6" s="25" t="n">
        <v>0.721</v>
      </c>
      <c r="N6" s="25" t="n">
        <v>0.89</v>
      </c>
      <c r="O6" s="25" t="n">
        <v>0.265</v>
      </c>
      <c r="P6" s="25" t="n">
        <v>0.677</v>
      </c>
    </row>
    <row r="7">
      <c r="A7" s="22" t="inlineStr">
        <is>
          <t>OG</t>
        </is>
      </c>
      <c r="B7" s="5" t="inlineStr">
        <is>
          <t>D2-D5</t>
        </is>
      </c>
      <c r="C7" s="24" t="n">
        <v>50</v>
      </c>
      <c r="D7" s="5" t="inlineStr">
        <is>
          <t>-5°C + buz</t>
        </is>
      </c>
      <c r="E7" s="33" t="n">
        <v>266</v>
      </c>
      <c r="F7" s="33" t="n">
        <v>496.5</v>
      </c>
      <c r="G7" s="33" t="n">
        <v>264.2</v>
      </c>
      <c r="H7" s="33" t="n">
        <v>127.1</v>
      </c>
      <c r="I7" s="35" t="n">
        <v>0.04242263813306939</v>
      </c>
      <c r="J7" s="33" t="n">
        <v>101</v>
      </c>
      <c r="K7" s="5" t="inlineStr">
        <is>
          <t>D2-D3</t>
        </is>
      </c>
      <c r="L7" s="24" t="n">
        <v>50</v>
      </c>
      <c r="M7" s="25" t="n">
        <v>0.891</v>
      </c>
      <c r="N7" s="25" t="n">
        <v>1.064</v>
      </c>
      <c r="O7" s="25" t="n">
        <v>0.404</v>
      </c>
      <c r="P7" s="25" t="n">
        <v>0.846</v>
      </c>
    </row>
    <row r="8">
      <c r="K8" s="5" t="inlineStr">
        <is>
          <t>D3-D4</t>
        </is>
      </c>
      <c r="L8" s="24" t="n">
        <v>50</v>
      </c>
      <c r="M8" s="25" t="n">
        <v>0.891</v>
      </c>
      <c r="N8" s="25" t="n">
        <v>1.064</v>
      </c>
      <c r="O8" s="25" t="n">
        <v>0.404</v>
      </c>
      <c r="P8" s="25" t="n">
        <v>0.846</v>
      </c>
    </row>
    <row r="9">
      <c r="K9" s="5" t="inlineStr">
        <is>
          <t>D4-D5</t>
        </is>
      </c>
      <c r="L9" s="24" t="n">
        <v>50</v>
      </c>
      <c r="M9" s="25" t="n">
        <v>0.891</v>
      </c>
      <c r="N9" s="25" t="n">
        <v>1.064</v>
      </c>
      <c r="O9" s="25" t="n">
        <v>0.404</v>
      </c>
      <c r="P9" s="25" t="n">
        <v>0.846</v>
      </c>
    </row>
    <row r="10">
      <c r="A10" s="22" t="inlineStr">
        <is>
          <t>OG</t>
        </is>
      </c>
      <c r="B10" s="5" t="inlineStr">
        <is>
          <t>D5-D6</t>
        </is>
      </c>
      <c r="C10" s="24" t="n">
        <v>45</v>
      </c>
      <c r="D10" s="5" t="inlineStr">
        <is>
          <t>-5°C + buz</t>
        </is>
      </c>
      <c r="E10" s="33" t="n">
        <v>328.8</v>
      </c>
      <c r="F10" s="33" t="n">
        <v>496.5</v>
      </c>
      <c r="G10" s="33" t="n">
        <v>267.6</v>
      </c>
      <c r="H10" s="33" t="n">
        <v>128.5</v>
      </c>
      <c r="I10" s="35" t="n">
        <v>0.04290944843892561</v>
      </c>
      <c r="J10" s="33" t="n">
        <v>97.8</v>
      </c>
      <c r="K10" s="5" t="inlineStr">
        <is>
          <t>D5-D6</t>
        </is>
      </c>
      <c r="L10" s="24" t="n">
        <v>45</v>
      </c>
      <c r="M10" s="25" t="n">
        <v>0.721</v>
      </c>
      <c r="N10" s="25" t="n">
        <v>0.89</v>
      </c>
      <c r="O10" s="25" t="n">
        <v>0.265</v>
      </c>
      <c r="P10" s="25" t="n">
        <v>0.677</v>
      </c>
    </row>
    <row r="11">
      <c r="A11" s="22" t="inlineStr">
        <is>
          <t>AG</t>
        </is>
      </c>
      <c r="B11" s="5" t="inlineStr">
        <is>
          <t>D1-D2</t>
        </is>
      </c>
      <c r="C11" s="24" t="n">
        <v>45</v>
      </c>
      <c r="D11" s="5" t="inlineStr">
        <is>
          <t>-5°C + buz</t>
        </is>
      </c>
      <c r="E11" s="33" t="n">
        <v>370.8</v>
      </c>
      <c r="F11" s="33" t="n">
        <v>650</v>
      </c>
      <c r="G11" s="33" t="n">
        <v>480.4</v>
      </c>
      <c r="H11" s="33" t="n">
        <v>285.2</v>
      </c>
      <c r="I11" s="35" t="n">
        <v>0.135811655254609</v>
      </c>
      <c r="J11" s="33" t="n">
        <v>251.8</v>
      </c>
      <c r="K11" s="5" t="inlineStr">
        <is>
          <t>D1-D2</t>
        </is>
      </c>
      <c r="L11" s="24" t="n">
        <v>45</v>
      </c>
      <c r="M11" s="25" t="n">
        <v>1.281</v>
      </c>
      <c r="N11" s="25" t="n">
        <v>1.307</v>
      </c>
      <c r="O11" s="25" t="n">
        <v>0.887</v>
      </c>
      <c r="P11" s="25" t="n">
        <v>1.154</v>
      </c>
    </row>
    <row r="12">
      <c r="A12" s="22" t="inlineStr">
        <is>
          <t>AG</t>
        </is>
      </c>
      <c r="B12" s="5" t="inlineStr">
        <is>
          <t>D2-D5</t>
        </is>
      </c>
      <c r="C12" s="24" t="n">
        <v>50</v>
      </c>
      <c r="D12" s="5" t="inlineStr">
        <is>
          <t>-5°C + buz</t>
        </is>
      </c>
      <c r="E12" s="33" t="n">
        <v>344.7</v>
      </c>
      <c r="F12" s="33" t="n">
        <v>650</v>
      </c>
      <c r="G12" s="33" t="n">
        <v>477.2</v>
      </c>
      <c r="H12" s="33" t="n">
        <v>279.9</v>
      </c>
      <c r="I12" s="35" t="n">
        <v>0.1332754277094069</v>
      </c>
      <c r="J12" s="33" t="n">
        <v>252.7</v>
      </c>
      <c r="K12" s="5" t="inlineStr">
        <is>
          <t>D2-D3</t>
        </is>
      </c>
      <c r="L12" s="24" t="n">
        <v>50</v>
      </c>
      <c r="M12" s="25" t="n">
        <v>1.582</v>
      </c>
      <c r="N12" s="25" t="n">
        <v>1.608</v>
      </c>
      <c r="O12" s="25" t="n">
        <v>1.179</v>
      </c>
      <c r="P12" s="25" t="n">
        <v>1.452</v>
      </c>
    </row>
    <row r="13">
      <c r="K13" s="5" t="inlineStr">
        <is>
          <t>D3-D4</t>
        </is>
      </c>
      <c r="L13" s="24" t="n">
        <v>50</v>
      </c>
      <c r="M13" s="25" t="n">
        <v>1.582</v>
      </c>
      <c r="N13" s="25" t="n">
        <v>1.608</v>
      </c>
      <c r="O13" s="25" t="n">
        <v>1.179</v>
      </c>
      <c r="P13" s="25" t="n">
        <v>1.452</v>
      </c>
    </row>
    <row r="14">
      <c r="K14" s="5" t="inlineStr">
        <is>
          <t>D4-D5</t>
        </is>
      </c>
      <c r="L14" s="24" t="n">
        <v>50</v>
      </c>
      <c r="M14" s="25" t="n">
        <v>1.582</v>
      </c>
      <c r="N14" s="25" t="n">
        <v>1.608</v>
      </c>
      <c r="O14" s="25" t="n">
        <v>1.179</v>
      </c>
      <c r="P14" s="25" t="n">
        <v>1.452</v>
      </c>
    </row>
    <row r="15">
      <c r="A15" s="22" t="inlineStr">
        <is>
          <t>AG</t>
        </is>
      </c>
      <c r="B15" s="5" t="inlineStr">
        <is>
          <t>D5-D6</t>
        </is>
      </c>
      <c r="C15" s="24" t="n">
        <v>45</v>
      </c>
      <c r="D15" s="5" t="inlineStr">
        <is>
          <t>-5°C + buz</t>
        </is>
      </c>
      <c r="E15" s="33" t="n">
        <v>370.8</v>
      </c>
      <c r="F15" s="33" t="n">
        <v>650</v>
      </c>
      <c r="G15" s="33" t="n">
        <v>480.4</v>
      </c>
      <c r="H15" s="33" t="n">
        <v>285.2</v>
      </c>
      <c r="I15" s="35" t="n">
        <v>0.135811655254609</v>
      </c>
      <c r="J15" s="33" t="n">
        <v>251.8</v>
      </c>
      <c r="K15" s="5" t="inlineStr">
        <is>
          <t>D5-D6</t>
        </is>
      </c>
      <c r="L15" s="24" t="n">
        <v>45</v>
      </c>
      <c r="M15" s="25" t="n">
        <v>1.281</v>
      </c>
      <c r="N15" s="25" t="n">
        <v>1.307</v>
      </c>
      <c r="O15" s="25" t="n">
        <v>0.887</v>
      </c>
      <c r="P15" s="25" t="n">
        <v>1.154</v>
      </c>
    </row>
    <row r="17">
      <c r="A17" s="32" t="inlineStr">
        <is>
          <t>İLETKEN VERİLERİ</t>
        </is>
      </c>
    </row>
    <row r="18" ht="32" customHeight="1">
      <c r="A18" s="3" t="inlineStr">
        <is>
          <t>Devre</t>
        </is>
      </c>
      <c r="B18" s="3" t="inlineStr">
        <is>
          <t>İletken</t>
        </is>
      </c>
      <c r="C18" s="3" t="inlineStr">
        <is>
          <t>S (mm²)</t>
        </is>
      </c>
      <c r="D18" s="3" t="inlineStr">
        <is>
          <t>d (mm)</t>
        </is>
      </c>
      <c r="E18" s="3" t="inlineStr">
        <is>
          <t>G (kg/m)</t>
        </is>
      </c>
      <c r="F18" s="3" t="inlineStr">
        <is>
          <t>Kopma (kg)</t>
        </is>
      </c>
      <c r="G18" s="3" t="inlineStr">
        <is>
          <t>E (kg/mm²)</t>
        </is>
      </c>
      <c r="H18" s="3" t="inlineStr">
        <is>
          <t>α (1/°C)</t>
        </is>
      </c>
      <c r="I18" s="3" t="inlineStr">
        <is>
          <t>c</t>
        </is>
      </c>
      <c r="J18" s="3" t="inlineStr">
        <is>
          <t>Buz Pb=0,3√d (kg/m)</t>
        </is>
      </c>
      <c r="K18" s="3" t="inlineStr">
        <is>
          <t>G+buz (kg/m)</t>
        </is>
      </c>
      <c r="L18" s="3" t="inlineStr">
        <is>
          <t>Rüzgâr c·p·d (kg/m)</t>
        </is>
      </c>
      <c r="M18" s="3" t="inlineStr">
        <is>
          <t>Rüzgârlı bileşke (kg/m)</t>
        </is>
      </c>
      <c r="N18" s="3" t="inlineStr">
        <is>
          <t>Tmax (kg)</t>
        </is>
      </c>
      <c r="O18" s="3" t="inlineStr">
        <is>
          <t>σmax (kg/mm²)</t>
        </is>
      </c>
      <c r="P18" s="3" t="inlineStr">
        <is>
          <t>Tmax/kopma</t>
        </is>
      </c>
    </row>
    <row r="19">
      <c r="A19" s="5" t="inlineStr">
        <is>
          <t>OG</t>
        </is>
      </c>
      <c r="B19" s="7" t="inlineStr">
        <is>
          <t>3/0 AWG Pigeon (ACSR 6/1)</t>
        </is>
      </c>
      <c r="C19" s="5" t="n">
        <v>99.3</v>
      </c>
      <c r="D19" s="5" t="n">
        <v>12.75</v>
      </c>
      <c r="E19" s="5" t="n">
        <v>0.3439</v>
      </c>
      <c r="F19" s="5" t="n">
        <v>2995</v>
      </c>
      <c r="G19" s="5" t="n">
        <v>8000</v>
      </c>
      <c r="H19" s="36" t="n">
        <v>1.91e-05</v>
      </c>
      <c r="I19" s="5" t="n">
        <v>1.1</v>
      </c>
      <c r="J19" s="37">
        <f>0.3*SQRT(D19)</f>
        <v/>
      </c>
      <c r="K19" s="38">
        <f>E19+J19</f>
        <v/>
      </c>
      <c r="L19" s="37">
        <f>I19*44*D19/1000</f>
        <v/>
      </c>
      <c r="M19" s="37">
        <f>SQRT(E19^2+L19^2)</f>
        <v/>
      </c>
      <c r="N19" s="24" t="n">
        <v>496.5</v>
      </c>
      <c r="O19" s="25">
        <f>N19/C19</f>
        <v/>
      </c>
      <c r="P19" s="35">
        <f>N19/F19</f>
        <v/>
      </c>
    </row>
    <row r="20">
      <c r="A20" s="5" t="inlineStr">
        <is>
          <t>AG</t>
        </is>
      </c>
      <c r="B20" s="7" t="inlineStr">
        <is>
          <t>AER (Alpek) 3x95+70 mm²</t>
        </is>
      </c>
      <c r="C20" s="5" t="n">
        <v>70</v>
      </c>
      <c r="D20" s="5" t="n">
        <v>44</v>
      </c>
      <c r="E20" s="5" t="n">
        <v>1.3</v>
      </c>
      <c r="F20" s="5" t="n">
        <v>2100</v>
      </c>
      <c r="G20" s="5" t="n">
        <v>6000</v>
      </c>
      <c r="H20" s="36" t="n">
        <v>2.3e-05</v>
      </c>
      <c r="I20" s="5" t="n">
        <v>1</v>
      </c>
      <c r="J20" s="37">
        <f>0.3*SQRT(D20)</f>
        <v/>
      </c>
      <c r="K20" s="38">
        <f>E20+J20</f>
        <v/>
      </c>
      <c r="L20" s="37">
        <f>I20*44*D20/1000</f>
        <v/>
      </c>
      <c r="M20" s="37">
        <f>SQRT(E20^2+L20^2)</f>
        <v/>
      </c>
      <c r="N20" s="24" t="n">
        <v>650</v>
      </c>
      <c r="O20" s="25">
        <f>N20/C20</f>
        <v/>
      </c>
      <c r="P20" s="35">
        <f>N20/F20</f>
        <v/>
      </c>
    </row>
    <row r="22">
      <c r="A22" s="21" t="inlineStr">
        <is>
          <t>Profil kontrolleri (en büyük salgıda): OG yerden en az 8,49 m (≥ 7,0 m), AG en az 6,20 m (≥ 5,0 m); OG-AG en küçük düşey ayrım 1,50 m (≥ 1,50 m).</t>
        </is>
      </c>
    </row>
    <row r="23">
      <c r="A23" s="21" t="inlineStr">
        <is>
          <t>Faz aralığı: D ≥ 0,5·√(fmax) + U/150 = 0,746 m ; potansta seçilen en küçük faz aralığı 0,90 m.</t>
        </is>
      </c>
    </row>
  </sheetData>
  <mergeCells count="2">
    <mergeCell ref="A1:P1"/>
    <mergeCell ref="A2:P2"/>
  </mergeCells>
  <pageMargins left="0.4" right="0.4" top="0.5" bottom="0.5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1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0" customWidth="1" min="4" max="4"/>
    <col width="7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3" customWidth="1" min="11" max="11"/>
    <col width="12" customWidth="1" min="12" max="12"/>
    <col width="12" customWidth="1" min="13" max="13"/>
    <col width="8" customWidth="1" min="14" max="14"/>
    <col width="8" customWidth="1" min="15" max="15"/>
    <col width="10" customWidth="1" min="16" max="16"/>
    <col width="12" customWidth="1" min="17" max="17"/>
    <col width="13" customWidth="1" min="18" max="18"/>
    <col width="10" customWidth="1" min="19" max="19"/>
    <col width="13" customWidth="1" min="20" max="20"/>
  </cols>
  <sheetData>
    <row r="1" ht="22" customHeight="1">
      <c r="A1" s="1" t="inlineStr">
        <is>
          <t>TEMEL HESABI (SULZBERGER) VE BETON / KAZI METRAJI</t>
        </is>
      </c>
    </row>
    <row r="2">
      <c r="A2" s="2" t="inlineStr">
        <is>
          <t>Ms = b·t³·Ct·tanα/36 ; Mb = G·a·(0,5-0,47·√(G/(b·a²·Ct·tanα))) ; Ct = C2·t/2 ; Md = F·(H+2t/3) ; şart: Ms+Mb ≥ k·Md. Sarı hücreler değiştirilebilir (zemin katsayısı, başlık yüksekliği).</t>
        </is>
      </c>
    </row>
    <row r="3">
      <c r="A3" s="20" t="inlineStr">
        <is>
          <t>C(2 m) zemin katsayısı (kg/cm³):</t>
        </is>
      </c>
      <c r="E3" s="39" t="n">
        <v>8</v>
      </c>
      <c r="F3" s="20" t="inlineStr">
        <is>
          <t>tanα:</t>
        </is>
      </c>
      <c r="G3" s="39" t="n">
        <v>0.01</v>
      </c>
      <c r="H3" s="20" t="inlineStr">
        <is>
          <t>Beton yoğ. (kg/m³):</t>
        </is>
      </c>
      <c r="J3" s="39" t="n">
        <v>2200</v>
      </c>
      <c r="K3" s="20" t="inlineStr">
        <is>
          <t>Yağmurluk başlığı (m):</t>
        </is>
      </c>
      <c r="M3" s="39" t="n">
        <v>0.2</v>
      </c>
      <c r="N3" s="20" t="inlineStr">
        <is>
          <t>H (m):</t>
        </is>
      </c>
      <c r="O3" t="n">
        <v>9.550000000000001</v>
      </c>
    </row>
    <row r="5" ht="32" customHeight="1">
      <c r="A5" s="3" t="inlineStr">
        <is>
          <t>Direk</t>
        </is>
      </c>
      <c r="B5" s="3" t="inlineStr">
        <is>
          <t>Tip</t>
        </is>
      </c>
      <c r="C5" s="3" t="inlineStr">
        <is>
          <t>b (m) kuvvete dik</t>
        </is>
      </c>
      <c r="D5" s="3" t="inlineStr">
        <is>
          <t>a (m) kuvvet yönü</t>
        </is>
      </c>
      <c r="E5" s="3" t="inlineStr">
        <is>
          <t>t (m)</t>
        </is>
      </c>
      <c r="F5" s="3" t="inlineStr">
        <is>
          <t>Kazı (m³)</t>
        </is>
      </c>
      <c r="G5" s="3" t="inlineStr">
        <is>
          <t>Beton (m³)</t>
        </is>
      </c>
      <c r="H5" s="3" t="inlineStr">
        <is>
          <t>Kalıp (m²)</t>
        </is>
      </c>
      <c r="I5" s="3" t="inlineStr">
        <is>
          <t>Direk ağırlığı (kg)</t>
        </is>
      </c>
      <c r="J5" s="3" t="inlineStr">
        <is>
          <t>G toplam (kg)</t>
        </is>
      </c>
      <c r="K5" s="3" t="inlineStr">
        <is>
          <t>Ct (kg/m³)</t>
        </is>
      </c>
      <c r="L5" s="3" t="inlineStr">
        <is>
          <t>Ms (kg·m)</t>
        </is>
      </c>
      <c r="M5" s="3" t="inlineStr">
        <is>
          <t>Mb (kg·m)</t>
        </is>
      </c>
      <c r="N5" s="3" t="inlineStr">
        <is>
          <t>Ms/Mb</t>
        </is>
      </c>
      <c r="O5" s="3" t="inlineStr">
        <is>
          <t>k</t>
        </is>
      </c>
      <c r="P5" s="3" t="inlineStr">
        <is>
          <t>F tepe (kg)</t>
        </is>
      </c>
      <c r="Q5" s="3" t="inlineStr">
        <is>
          <t>Md (kg·m)</t>
        </is>
      </c>
      <c r="R5" s="3" t="inlineStr">
        <is>
          <t>(Ms+Mb)/(k·Md)</t>
        </is>
      </c>
      <c r="S5" s="3" t="inlineStr">
        <is>
          <t>Sonuç</t>
        </is>
      </c>
      <c r="T5" s="3" t="inlineStr">
        <is>
          <t>Katalog tepe kuvvetiyle GK</t>
        </is>
      </c>
      <c r="W5" s="3" t="inlineStr">
        <is>
          <t>Ms/Mb</t>
        </is>
      </c>
      <c r="X5" s="3" t="inlineStr">
        <is>
          <t>k</t>
        </is>
      </c>
    </row>
    <row r="6">
      <c r="A6" s="22" t="inlineStr">
        <is>
          <t>D1</t>
        </is>
      </c>
      <c r="B6" s="5" t="inlineStr">
        <is>
          <t>K5''</t>
        </is>
      </c>
      <c r="C6" s="25" t="n">
        <v>1.2</v>
      </c>
      <c r="D6" s="25" t="n">
        <v>1.2</v>
      </c>
      <c r="E6" s="25" t="n">
        <v>2.4</v>
      </c>
      <c r="F6" s="26">
        <f>C6*D6*E6</f>
        <v/>
      </c>
      <c r="G6" s="40">
        <f>C6*D6*(E6+$M$3)</f>
        <v/>
      </c>
      <c r="H6" s="41">
        <f>2*(C6+D6)*0.30</f>
        <v/>
      </c>
      <c r="I6" s="30" t="n">
        <v>959.77</v>
      </c>
      <c r="J6" s="42">
        <f>G6*$J$3+I6+150</f>
        <v/>
      </c>
      <c r="K6" s="42">
        <f>$E$3*E6/2*1000000</f>
        <v/>
      </c>
      <c r="L6" s="42">
        <f>C6*E6^3*K6*$G$3/36</f>
        <v/>
      </c>
      <c r="M6" s="42">
        <f>J6*D6*(0.5-0.47*SQRT(J6/(C6*D6^2*K6*$G$3)))</f>
        <v/>
      </c>
      <c r="N6" s="25">
        <f>L6/M6</f>
        <v/>
      </c>
      <c r="O6" s="23">
        <f>IF(N6&gt;=1,1,VLOOKUP(N6,$W$6:$X$16,2,TRUE))</f>
        <v/>
      </c>
      <c r="P6" s="33" t="n">
        <v>2846.7</v>
      </c>
      <c r="Q6" s="42">
        <f>P6*($O$3+2*E6/3)</f>
        <v/>
      </c>
      <c r="R6" s="43">
        <f>(L6+M6)/(O6*Q6)</f>
        <v/>
      </c>
      <c r="S6" s="34">
        <f>IF(R6&gt;=1,"UYGUN","BÜYÜT")</f>
        <v/>
      </c>
      <c r="T6" s="41">
        <f>(L6+M6)/(O6*4432*($O$3+2*E6/3))</f>
        <v/>
      </c>
      <c r="W6" s="24" t="n">
        <v>0</v>
      </c>
      <c r="X6" s="26" t="n">
        <v>1.5</v>
      </c>
    </row>
    <row r="7">
      <c r="A7" s="22" t="inlineStr">
        <is>
          <t>D2</t>
        </is>
      </c>
      <c r="B7" s="5" t="inlineStr">
        <is>
          <t>K5''</t>
        </is>
      </c>
      <c r="C7" s="25" t="n">
        <v>1.2</v>
      </c>
      <c r="D7" s="25" t="n">
        <v>1.2</v>
      </c>
      <c r="E7" s="25" t="n">
        <v>2.4</v>
      </c>
      <c r="F7" s="26">
        <f>C7*D7*E7</f>
        <v/>
      </c>
      <c r="G7" s="40">
        <f>C7*D7*(E7+$M$3)</f>
        <v/>
      </c>
      <c r="H7" s="41">
        <f>2*(C7+D7)*0.30</f>
        <v/>
      </c>
      <c r="I7" s="30" t="n">
        <v>959.77</v>
      </c>
      <c r="J7" s="42">
        <f>G7*$J$3+I7+150</f>
        <v/>
      </c>
      <c r="K7" s="42">
        <f>$E$3*E7/2*1000000</f>
        <v/>
      </c>
      <c r="L7" s="42">
        <f>C7*E7^3*K7*$G$3/36</f>
        <v/>
      </c>
      <c r="M7" s="42">
        <f>J7*D7*(0.5-0.47*SQRT(J7/(C7*D7^2*K7*$G$3)))</f>
        <v/>
      </c>
      <c r="N7" s="25">
        <f>L7/M7</f>
        <v/>
      </c>
      <c r="O7" s="23">
        <f>IF(N7&gt;=1,1,VLOOKUP(N7,$W$6:$X$16,2,TRUE))</f>
        <v/>
      </c>
      <c r="P7" s="33" t="n">
        <v>3121.5</v>
      </c>
      <c r="Q7" s="42">
        <f>P7*($O$3+2*E7/3)</f>
        <v/>
      </c>
      <c r="R7" s="43">
        <f>(L7+M7)/(O7*Q7)</f>
        <v/>
      </c>
      <c r="S7" s="34">
        <f>IF(R7&gt;=1,"UYGUN","BÜYÜT")</f>
        <v/>
      </c>
      <c r="T7" s="41">
        <f>(L7+M7)/(O7*4432*($O$3+2*E7/3))</f>
        <v/>
      </c>
      <c r="W7" s="24" t="n">
        <v>0.1</v>
      </c>
      <c r="X7" s="26" t="n">
        <v>1.383</v>
      </c>
    </row>
    <row r="8">
      <c r="A8" s="22" t="inlineStr">
        <is>
          <t>D3</t>
        </is>
      </c>
      <c r="B8" s="5" t="inlineStr">
        <is>
          <t>12U''</t>
        </is>
      </c>
      <c r="C8" s="25" t="n">
        <v>0.6</v>
      </c>
      <c r="D8" s="25" t="n">
        <v>1.15</v>
      </c>
      <c r="E8" s="25" t="n">
        <v>2</v>
      </c>
      <c r="F8" s="26">
        <f>C8*D8*E8</f>
        <v/>
      </c>
      <c r="G8" s="40">
        <f>C8*D8*(E8+$M$3)</f>
        <v/>
      </c>
      <c r="H8" s="41">
        <f>2*(C8+D8)*0.30</f>
        <v/>
      </c>
      <c r="I8" s="30" t="n">
        <v>361.85</v>
      </c>
      <c r="J8" s="42">
        <f>G8*$J$3+I8+150</f>
        <v/>
      </c>
      <c r="K8" s="42">
        <f>$E$3*E8/2*1000000</f>
        <v/>
      </c>
      <c r="L8" s="42">
        <f>C8*E8^3*K8*$G$3/36</f>
        <v/>
      </c>
      <c r="M8" s="42">
        <f>J8*D8*(0.5-0.47*SQRT(J8/(C8*D8^2*K8*$G$3)))</f>
        <v/>
      </c>
      <c r="N8" s="25">
        <f>L8/M8</f>
        <v/>
      </c>
      <c r="O8" s="23">
        <f>IF(N8&gt;=1,1,VLOOKUP(N8,$W$6:$X$16,2,TRUE))</f>
        <v/>
      </c>
      <c r="P8" s="33" t="n">
        <v>199.7</v>
      </c>
      <c r="Q8" s="42">
        <f>P8*($O$3+2*E8/3)</f>
        <v/>
      </c>
      <c r="R8" s="43">
        <f>(L8+M8)/(O8*Q8)</f>
        <v/>
      </c>
      <c r="S8" s="34">
        <f>IF(R8&gt;=1,"UYGUN","BÜYÜT")</f>
        <v/>
      </c>
      <c r="T8" s="41">
        <f>(L8+M8)/(O8*1000*($O$3+2*E8/3))</f>
        <v/>
      </c>
      <c r="W8" s="24" t="n">
        <v>0.2</v>
      </c>
      <c r="X8" s="26" t="n">
        <v>1.317</v>
      </c>
    </row>
    <row r="9">
      <c r="A9" s="22" t="inlineStr">
        <is>
          <t>D4</t>
        </is>
      </c>
      <c r="B9" s="5" t="inlineStr">
        <is>
          <t>12U''</t>
        </is>
      </c>
      <c r="C9" s="25" t="n">
        <v>0.6</v>
      </c>
      <c r="D9" s="25" t="n">
        <v>1.15</v>
      </c>
      <c r="E9" s="25" t="n">
        <v>2</v>
      </c>
      <c r="F9" s="26">
        <f>C9*D9*E9</f>
        <v/>
      </c>
      <c r="G9" s="40">
        <f>C9*D9*(E9+$M$3)</f>
        <v/>
      </c>
      <c r="H9" s="41">
        <f>2*(C9+D9)*0.30</f>
        <v/>
      </c>
      <c r="I9" s="30" t="n">
        <v>361.85</v>
      </c>
      <c r="J9" s="42">
        <f>G9*$J$3+I9+150</f>
        <v/>
      </c>
      <c r="K9" s="42">
        <f>$E$3*E9/2*1000000</f>
        <v/>
      </c>
      <c r="L9" s="42">
        <f>C9*E9^3*K9*$G$3/36</f>
        <v/>
      </c>
      <c r="M9" s="42">
        <f>J9*D9*(0.5-0.47*SQRT(J9/(C9*D9^2*K9*$G$3)))</f>
        <v/>
      </c>
      <c r="N9" s="25">
        <f>L9/M9</f>
        <v/>
      </c>
      <c r="O9" s="23">
        <f>IF(N9&gt;=1,1,VLOOKUP(N9,$W$6:$X$16,2,TRUE))</f>
        <v/>
      </c>
      <c r="P9" s="33" t="n">
        <v>199.7</v>
      </c>
      <c r="Q9" s="42">
        <f>P9*($O$3+2*E9/3)</f>
        <v/>
      </c>
      <c r="R9" s="43">
        <f>(L9+M9)/(O9*Q9)</f>
        <v/>
      </c>
      <c r="S9" s="34">
        <f>IF(R9&gt;=1,"UYGUN","BÜYÜT")</f>
        <v/>
      </c>
      <c r="T9" s="41">
        <f>(L9+M9)/(O9*1000*($O$3+2*E9/3))</f>
        <v/>
      </c>
      <c r="W9" s="24" t="n">
        <v>0.3</v>
      </c>
      <c r="X9" s="26" t="n">
        <v>1.26</v>
      </c>
    </row>
    <row r="10">
      <c r="A10" s="22" t="inlineStr">
        <is>
          <t>D5</t>
        </is>
      </c>
      <c r="B10" s="5" t="inlineStr">
        <is>
          <t>K5''</t>
        </is>
      </c>
      <c r="C10" s="25" t="n">
        <v>1.2</v>
      </c>
      <c r="D10" s="25" t="n">
        <v>1.2</v>
      </c>
      <c r="E10" s="25" t="n">
        <v>2.4</v>
      </c>
      <c r="F10" s="26">
        <f>C10*D10*E10</f>
        <v/>
      </c>
      <c r="G10" s="40">
        <f>C10*D10*(E10+$M$3)</f>
        <v/>
      </c>
      <c r="H10" s="41">
        <f>2*(C10+D10)*0.30</f>
        <v/>
      </c>
      <c r="I10" s="30" t="n">
        <v>959.77</v>
      </c>
      <c r="J10" s="42">
        <f>G10*$J$3+I10+150</f>
        <v/>
      </c>
      <c r="K10" s="42">
        <f>$E$3*E10/2*1000000</f>
        <v/>
      </c>
      <c r="L10" s="42">
        <f>C10*E10^3*K10*$G$3/36</f>
        <v/>
      </c>
      <c r="M10" s="42">
        <f>J10*D10*(0.5-0.47*SQRT(J10/(C10*D10^2*K10*$G$3)))</f>
        <v/>
      </c>
      <c r="N10" s="25">
        <f>L10/M10</f>
        <v/>
      </c>
      <c r="O10" s="23">
        <f>IF(N10&gt;=1,1,VLOOKUP(N10,$W$6:$X$16,2,TRUE))</f>
        <v/>
      </c>
      <c r="P10" s="33" t="n">
        <v>3829.1</v>
      </c>
      <c r="Q10" s="42">
        <f>P10*($O$3+2*E10/3)</f>
        <v/>
      </c>
      <c r="R10" s="43">
        <f>(L10+M10)/(O10*Q10)</f>
        <v/>
      </c>
      <c r="S10" s="34">
        <f>IF(R10&gt;=1,"UYGUN","BÜYÜT")</f>
        <v/>
      </c>
      <c r="T10" s="41">
        <f>(L10+M10)/(O10*4432*($O$3+2*E10/3))</f>
        <v/>
      </c>
      <c r="W10" s="24" t="n">
        <v>0.4</v>
      </c>
      <c r="X10" s="26" t="n">
        <v>1.208</v>
      </c>
    </row>
    <row r="11">
      <c r="A11" s="22" t="inlineStr">
        <is>
          <t>D6</t>
        </is>
      </c>
      <c r="B11" s="5" t="inlineStr">
        <is>
          <t>K4''</t>
        </is>
      </c>
      <c r="C11" s="25" t="n">
        <v>1.2</v>
      </c>
      <c r="D11" s="25" t="n">
        <v>1.2</v>
      </c>
      <c r="E11" s="25" t="n">
        <v>2.3</v>
      </c>
      <c r="F11" s="26">
        <f>C11*D11*E11</f>
        <v/>
      </c>
      <c r="G11" s="40">
        <f>C11*D11*(E11+$M$3)</f>
        <v/>
      </c>
      <c r="H11" s="41">
        <f>2*(C11+D11)*0.30</f>
        <v/>
      </c>
      <c r="I11" s="30" t="n">
        <v>783.54</v>
      </c>
      <c r="J11" s="42">
        <f>G11*$J$3+I11+150</f>
        <v/>
      </c>
      <c r="K11" s="42">
        <f>$E$3*E11/2*1000000</f>
        <v/>
      </c>
      <c r="L11" s="42">
        <f>C11*E11^3*K11*$G$3/36</f>
        <v/>
      </c>
      <c r="M11" s="42">
        <f>J11*D11*(0.5-0.47*SQRT(J11/(C11*D11^2*K11*$G$3)))</f>
        <v/>
      </c>
      <c r="N11" s="25">
        <f>L11/M11</f>
        <v/>
      </c>
      <c r="O11" s="23">
        <f>IF(N11&gt;=1,1,VLOOKUP(N11,$W$6:$X$16,2,TRUE))</f>
        <v/>
      </c>
      <c r="P11" s="33" t="n">
        <v>2037.4</v>
      </c>
      <c r="Q11" s="42">
        <f>P11*($O$3+2*E11/3)</f>
        <v/>
      </c>
      <c r="R11" s="43">
        <f>(L11+M11)/(O11*Q11)</f>
        <v/>
      </c>
      <c r="S11" s="34">
        <f>IF(R11&gt;=1,"UYGUN","BÜYÜT")</f>
        <v/>
      </c>
      <c r="T11" s="41">
        <f>(L11+M11)/(O11*2783*($O$3+2*E11/3))</f>
        <v/>
      </c>
      <c r="W11" s="24" t="n">
        <v>0.5</v>
      </c>
      <c r="X11" s="26" t="n">
        <v>1.15</v>
      </c>
    </row>
    <row r="12">
      <c r="E12" s="44" t="inlineStr">
        <is>
          <t>TOPLAM</t>
        </is>
      </c>
      <c r="F12" s="45">
        <f>SUM(F6:F11)</f>
        <v/>
      </c>
      <c r="G12" s="45">
        <f>SUM(G6:G11)</f>
        <v/>
      </c>
      <c r="H12" s="45">
        <f>SUM(H6:H11)</f>
        <v/>
      </c>
      <c r="I12" s="14">
        <f>SUM(I6:I11)</f>
        <v/>
      </c>
      <c r="W12" s="24" t="n">
        <v>0.6</v>
      </c>
      <c r="X12" s="26" t="n">
        <v>1.115</v>
      </c>
    </row>
    <row r="13">
      <c r="W13" s="24" t="n">
        <v>0.7</v>
      </c>
      <c r="X13" s="26" t="n">
        <v>1.075</v>
      </c>
    </row>
    <row r="14">
      <c r="A14" s="21" t="inlineStr">
        <is>
          <t>k katsayısı: W:X sütunlarındaki Sulzberger tablosundan (alt basamak, emniyetli); tüm direklerde Ms/Mb &gt; 1 olduğundan k = 1,0.</t>
        </is>
      </c>
      <c r="W14" s="24" t="n">
        <v>0.8</v>
      </c>
      <c r="X14" s="26" t="n">
        <v>1.04</v>
      </c>
    </row>
    <row r="15">
      <c r="A15" s="21" t="inlineStr">
        <is>
          <t>Temel boyutları TEDAŞ müşterek demir direk tip temelleridir (çift üs, III. bölge). C(2m)=8 kg/cm³ orta sert zemin kabulüdür; zemin etüdüne göre E3 hücresini güncelleyiniz.</t>
        </is>
      </c>
      <c r="W15" s="24" t="n">
        <v>0.9</v>
      </c>
      <c r="X15" s="26" t="n">
        <v>1.017</v>
      </c>
    </row>
    <row r="16">
      <c r="A16" s="21" t="inlineStr">
        <is>
          <t>Beton C20/25 (TS EN 206), monoblok, demirsiz; direk ayakları temel tabanından 10 cm yukarıda biter. Üst yüz zeminden 20 cm yüksek ve eğimli yapılır.</t>
        </is>
      </c>
      <c r="W16" s="24" t="n">
        <v>1</v>
      </c>
      <c r="X16" s="26" t="n">
        <v>1</v>
      </c>
    </row>
    <row r="17">
      <c r="A17" s="21" t="inlineStr">
        <is>
          <t>Katalog tepe kuvvetiyle GK &lt; 1 çıkan K5'' temelleri, direk tam kapasitesinde zemin kabulüne duyarlıdır; gerçek yükte (GK sütunu R) yeterlidir. Zayıf zeminde temel boyutu büyütülmelidir.</t>
        </is>
      </c>
    </row>
  </sheetData>
  <mergeCells count="6">
    <mergeCell ref="A1:T1"/>
    <mergeCell ref="A17:T17"/>
    <mergeCell ref="A15:T15"/>
    <mergeCell ref="A16:T16"/>
    <mergeCell ref="A2:T2"/>
    <mergeCell ref="A14:T14"/>
  </mergeCells>
  <pageMargins left="0.4" right="0.4" top="0.5" bottom="0.5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34" customWidth="1" min="3" max="3"/>
  </cols>
  <sheetData>
    <row r="1" ht="22" customHeight="1">
      <c r="A1" s="1" t="inlineStr">
        <is>
          <t>PROJE ESASLARI VE KABULLER</t>
        </is>
      </c>
    </row>
    <row r="2">
      <c r="A2" s="2" t="inlineStr">
        <is>
          <t>Hesaplarda kullanılan tüm giriş değerleri ve dayanakları.</t>
        </is>
      </c>
    </row>
    <row r="4" ht="32" customHeight="1">
      <c r="A4" s="3" t="inlineStr">
        <is>
          <t>Konu</t>
        </is>
      </c>
      <c r="B4" s="3" t="inlineStr">
        <is>
          <t>Değer / kabul</t>
        </is>
      </c>
      <c r="C4" s="3" t="inlineStr">
        <is>
          <t>Dayanak</t>
        </is>
      </c>
    </row>
    <row r="5" ht="28" customHeight="1">
      <c r="A5" s="34" t="inlineStr">
        <is>
          <t>Şebeke</t>
        </is>
      </c>
      <c r="B5" s="7" t="inlineStr">
        <is>
          <t>34,5 kV OG (Um 36 kV), 3 faz, 50 Hz + 0,4 kV AG; müşterek (OG+AG aynı direk)</t>
        </is>
      </c>
      <c r="C5" s="7" t="inlineStr">
        <is>
          <t>Proje kabulü</t>
        </is>
      </c>
    </row>
    <row r="6" ht="28" customHeight="1">
      <c r="A6" s="34" t="inlineStr">
        <is>
          <t>Buz yükü bölgesi</t>
        </is>
      </c>
      <c r="B6" s="7" t="inlineStr">
        <is>
          <t>III. bölge: Pb = 0,3·√d (kg/m), buz -5 °C, en düşük -25 °C, en yüksek +40 °C; buz yoğunluğu 0,6 kg/dm³</t>
        </is>
      </c>
      <c r="C6" s="7" t="inlineStr">
        <is>
          <t>EKATY Md.45, Çizelge-9</t>
        </is>
      </c>
    </row>
    <row r="7" ht="28" customHeight="1">
      <c r="A7" s="34" t="inlineStr">
        <is>
          <t>Rüzgâr basıncı</t>
        </is>
      </c>
      <c r="B7" s="7" t="inlineStr">
        <is>
          <t>İletkenler 44 kg/m² (0-15 m, küçük aralıklı); direk/travers/izolatör 55 kg/m²</t>
        </is>
      </c>
      <c r="C7" s="7" t="inlineStr">
        <is>
          <t>EKATY Md.48, Çizelge-11</t>
        </is>
      </c>
    </row>
    <row r="8" ht="28" customHeight="1">
      <c r="A8" s="34" t="inlineStr">
        <is>
          <t>Rüzgâr katsayısı c</t>
        </is>
      </c>
      <c r="B8" s="7" t="inlineStr">
        <is>
          <t>Pigeon (12,5&lt;d≤15,8 mm) 1,1 ; AER (d&gt;15,8) 1,0 ; kare kafes direk 2,8 ; tek yüzlü kafes/travers 1,6</t>
        </is>
      </c>
      <c r="C8" s="7" t="inlineStr">
        <is>
          <t>EKATY Çizelge-10</t>
        </is>
      </c>
    </row>
    <row r="9" ht="28" customHeight="1">
      <c r="A9" s="34" t="inlineStr">
        <is>
          <t>OG iletken</t>
        </is>
      </c>
      <c r="B9" s="7" t="inlineStr">
        <is>
          <t>3/0 AWG Pigeon ACSR 6/1: S 99,30 mm², d 12,75 mm, 0,3439 kg/m, kopma 2.995 kg, E 8.000 kg/mm², α 19,1e-6</t>
        </is>
      </c>
      <c r="C9" s="7" t="inlineStr">
        <is>
          <t>EMO teknik bilgiler / TS</t>
        </is>
      </c>
    </row>
    <row r="10" ht="28" customHeight="1">
      <c r="A10" s="34" t="inlineStr">
        <is>
          <t>OG çekme</t>
        </is>
      </c>
      <c r="B10" s="7" t="inlineStr">
        <is>
          <t>σmax = 5,0 kg/mm² → Tmax = 496,5 kg (%16,6 kopma ≤ %45); EDS ≈ %4,3 (≤ %15)</t>
        </is>
      </c>
      <c r="C10" s="7" t="inlineStr">
        <is>
          <t>EKATY Md.46</t>
        </is>
      </c>
    </row>
    <row r="11" ht="28" customHeight="1">
      <c r="A11" s="34" t="inlineStr">
        <is>
          <t>AG kablo</t>
        </is>
      </c>
      <c r="B11" s="7" t="inlineStr">
        <is>
          <t>AER (Alpek) 3x95+70 mm²: demet d≈44 mm, 1,30 kg/m (emniyetli kabul), taşıyıcı nötr 70 mm² kopma 2.100 kg</t>
        </is>
      </c>
      <c r="C11" s="7" t="inlineStr">
        <is>
          <t>TS 11654 / TEDAŞ-MYD/2005-051 (teyit)</t>
        </is>
      </c>
    </row>
    <row r="12" ht="28" customHeight="1">
      <c r="A12" s="34" t="inlineStr">
        <is>
          <t>AG çekme</t>
        </is>
      </c>
      <c r="B12" s="7" t="inlineStr">
        <is>
          <t>Tmax = 650 kg (-5 °C + buz), %31 kopma; EDS ≈ %13,5</t>
        </is>
      </c>
      <c r="C12" s="7" t="inlineStr">
        <is>
          <t>EKATY Md.46</t>
        </is>
      </c>
    </row>
    <row r="13" ht="28" customHeight="1">
      <c r="A13" s="34" t="inlineStr">
        <is>
          <t>Direkler</t>
        </is>
      </c>
      <c r="B13" s="7" t="inlineStr">
        <is>
          <t>TEDAŞ müşterek galvanizli kafes demir direkler, a=50 m (çift üs ''), III. bölge; toprak üstü 9,73 m</t>
        </is>
      </c>
      <c r="C13" s="7" t="inlineStr">
        <is>
          <t>TEDAŞ tip direk tabloları</t>
        </is>
      </c>
    </row>
    <row r="14" ht="28" customHeight="1">
      <c r="A14" s="34" t="inlineStr">
        <is>
          <t>Tepe kuvveti</t>
        </is>
      </c>
      <c r="B14" s="7" t="inlineStr">
        <is>
          <t>Tüm kuvvetler OG bağlantı seviyesine (9,55 m) indirgenmiş; AG 8,05 m (D1'de 7,05 m)</t>
        </is>
      </c>
      <c r="C14" s="7" t="inlineStr">
        <is>
          <t>EKATY Md.3 tanım 13</t>
        </is>
      </c>
    </row>
    <row r="15" ht="28" customHeight="1">
      <c r="A15" s="34" t="inlineStr">
        <is>
          <t>Yüklenme varsayımları</t>
        </is>
      </c>
      <c r="B15" s="7" t="inlineStr">
        <is>
          <t>Taşıyıcı V1-V3, köşe durdurucu V1, V2, V4, V5; nihayet V1, V2, V4; Çizelge-12 zayıflama (4 iletken → %60)</t>
        </is>
      </c>
      <c r="C15" s="7" t="inlineStr">
        <is>
          <t>EKATY Md.49</t>
        </is>
      </c>
    </row>
    <row r="16" ht="28" customHeight="1">
      <c r="A16" s="34" t="inlineStr">
        <is>
          <t>İzolatörler</t>
        </is>
      </c>
      <c r="B16" s="7" t="inlineStr">
        <is>
          <t>36 kV silikon kompozit: gergi 70 kN (durdurucu/köşe/nihayet), mesnet line-post (taşıyıcı ve atlama desteği)</t>
        </is>
      </c>
      <c r="C16" s="7" t="inlineStr">
        <is>
          <t>TEDAŞ şartnamesi</t>
        </is>
      </c>
    </row>
    <row r="17" ht="28" customHeight="1">
      <c r="A17" s="34" t="inlineStr">
        <is>
          <t>Ayırıcı</t>
        </is>
      </c>
      <c r="B17" s="7" t="inlineStr">
        <is>
          <t>D1: 36 kV 630 A, harici tip, 3 kutuplu, silikon izolatörlü, kilitli kumanda kolu, potansiyel düzenleme</t>
        </is>
      </c>
      <c r="C17" s="7" t="inlineStr">
        <is>
          <t>TEDAŞ şartnamesi</t>
        </is>
      </c>
    </row>
    <row r="18" ht="28" customHeight="1">
      <c r="A18" s="34" t="inlineStr">
        <is>
          <t>Mesafeler</t>
        </is>
      </c>
      <c r="B18" s="7" t="inlineStr">
        <is>
          <t>OG-AG direkte ≥ 1,50 m; yerden OG ≥ 7,0 m, AG yalıtılmış ≥ 5,0 m; faz aralığı ≥ 0,746 m</t>
        </is>
      </c>
      <c r="C18" s="7" t="inlineStr">
        <is>
          <t>EKATY Md.44, Çizelge-8</t>
        </is>
      </c>
    </row>
    <row r="19" ht="28" customHeight="1">
      <c r="A19" s="34" t="inlineStr">
        <is>
          <t>Temel</t>
        </is>
      </c>
      <c r="B19" s="7" t="inlineStr">
        <is>
          <t>Monoblok C20/25, Sulzberger; C(2 m) = 8 kg/cm³; beton 2.200 kg/m³</t>
        </is>
      </c>
      <c r="C19" s="7" t="inlineStr">
        <is>
          <t>EKATY Md.56, Çizelge-19</t>
        </is>
      </c>
    </row>
    <row r="20" ht="28" customHeight="1">
      <c r="A20" s="34" t="inlineStr">
        <is>
          <t>Topraklama</t>
        </is>
      </c>
      <c r="B20" s="7" t="inlineStr">
        <is>
          <t>Her direkte koruma topraklaması; D1 halka + 4 çubuk + kumanda yeri ızgarası; D2 ve D6'da AG nötr</t>
        </is>
      </c>
      <c r="C20" s="7" t="inlineStr">
        <is>
          <t>Elektrik Tesislerinde Topraklamalar Yönetmeliği</t>
        </is>
      </c>
    </row>
    <row r="21" ht="28" customHeight="1">
      <c r="A21" s="34" t="inlineStr">
        <is>
          <t>Güzergâh</t>
        </is>
      </c>
      <c r="B21" s="7" t="inlineStr">
        <is>
          <t>M-D1 35 m, D1-D2 45 m, D2-D3 50 m, D3-D4 50 m, D4-D5 50 m, D5-D6 45 m; iç açılar D1 70°, D2 80°, D5 40°</t>
        </is>
      </c>
      <c r="C21" s="7" t="inlineStr">
        <is>
          <t>Proje kabulü (aplikasyonla teyit)</t>
        </is>
      </c>
    </row>
  </sheetData>
  <mergeCells count="2">
    <mergeCell ref="A1:C1"/>
    <mergeCell ref="A2:C2"/>
  </mergeCells>
  <pageMargins left="0.4" right="0.4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2026-10-09T22:17:16Z</dcterms:created>
  <dcterms:modified xmlns:dcterms="http://purl.org/dc/terms/" xmlns:xsi="http://www.w3.org/2001/XMLSchema-instance" xsi:type="dcterms:W3CDTF">2026-10-09T22:17:16Z</dcterms:modified>
</cp:coreProperties>
</file>